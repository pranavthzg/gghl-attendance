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https://gulfgroupholding-my.sharepoint.com/personal/ahr_aswaqrak_ae/Documents/Attendance/view/"/>
    </mc:Choice>
  </mc:AlternateContent>
  <xr:revisionPtr revIDLastSave="2998" documentId="13_ncr:1_{253273A2-C690-4933-9FFA-FA42F5146DD9}" xr6:coauthVersionLast="47" xr6:coauthVersionMax="47" xr10:uidLastSave="{A9B560BD-2F68-4D2C-A0EB-108956904A03}"/>
  <bookViews>
    <workbookView xWindow="-120" yWindow="-120" windowWidth="29040" windowHeight="15720" xr2:uid="{00000000-000D-0000-FFFF-FFFF00000000}"/>
  </bookViews>
  <sheets>
    <sheet name="Table6" sheetId="2" r:id="rId1"/>
  </sheets>
  <definedNames>
    <definedName name="ExternalData_1" localSheetId="0" hidden="1">Table6!$A$12:$K$839</definedName>
    <definedName name="_xlnm.Print_Titles" localSheetId="0">Table6!$10:$12</definedName>
    <definedName name="Slicer_Company">#N/A</definedName>
    <definedName name="Slicer_Date">#N/A</definedName>
    <definedName name="Slicer_Name">#N/A</definedName>
    <definedName name="Slicer_Remarks">#N/A</definedName>
  </definedNames>
  <calcPr calcId="191029" iterate="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40" i="2" l="1"/>
  <c r="I840" i="2"/>
  <c r="J84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6DC3BC-5858-47EA-9E20-8F2EF873CD52}" keepAlive="1" name="Query - Query1" description="Connection to the 'Query1' query in the workbook." type="5" refreshedVersion="8" background="1">
    <dbPr connection="Provider=Microsoft.Mashup.OleDb.1;Data Source=$Workbook$;Location=Query1;Extended Properties=&quot;&quot;" command="SELECT * FROM [Query1]"/>
  </connection>
  <connection id="2" xr16:uid="{3EFB8056-7D68-4901-B745-266ACD573ECE}" odcFile="D:\Query - Table6.odc" keepAlive="1" name="Query - Table6" description="Connection to the 'Table6' query in the workbook." type="5" refreshedVersion="8" background="1" saveData="1">
    <dbPr connection="Provider=Microsoft.Mashup.OleDb.1;Data Source=$Workbook$;Location=Table6;Extended Properties=&quot;&quot;" command="SELECT * FROM [Table6]"/>
  </connection>
</connections>
</file>

<file path=xl/sharedStrings.xml><?xml version="1.0" encoding="utf-8"?>
<sst xmlns="http://schemas.openxmlformats.org/spreadsheetml/2006/main" count="3320" uniqueCount="131">
  <si>
    <t>SAP Id</t>
  </si>
  <si>
    <t>Name</t>
  </si>
  <si>
    <t>Company</t>
  </si>
  <si>
    <t>Date</t>
  </si>
  <si>
    <t>Day</t>
  </si>
  <si>
    <t>Time In</t>
  </si>
  <si>
    <t>Time Out</t>
  </si>
  <si>
    <t>Hours Worked</t>
  </si>
  <si>
    <t>Duty Hours</t>
  </si>
  <si>
    <t>OT Hours</t>
  </si>
  <si>
    <t>Remarks</t>
  </si>
  <si>
    <t>GGHL</t>
  </si>
  <si>
    <t>ABDELRAHMAN YASSER ABDELRAHMAN BAUYMY AB</t>
  </si>
  <si>
    <t>GULF CO.</t>
  </si>
  <si>
    <t>GOLDEN FALCON</t>
  </si>
  <si>
    <t>ABDUL LATHEEF MOHAMED HANEEF MOHAMED HAN</t>
  </si>
  <si>
    <t>ABDUL WAHEED</t>
  </si>
  <si>
    <t>GULF CONCRETE &amp; BLOCKS</t>
  </si>
  <si>
    <t>ABU THAHIR</t>
  </si>
  <si>
    <t>AHMED BADR RABIE MAHMOUD</t>
  </si>
  <si>
    <t>AHMED MOHAMED FAHMI ABDALLA</t>
  </si>
  <si>
    <t>AHMED TALAAT  RABIE MAHMOUD</t>
  </si>
  <si>
    <t>AKHIL REGHUNATHAN</t>
  </si>
  <si>
    <t>ALI GAMAL ABDELFATTAN ALI GHONEIM</t>
  </si>
  <si>
    <t>ABTECH SOLUTIONS IT LLC</t>
  </si>
  <si>
    <t>ARUNA KUMARI JAKKA</t>
  </si>
  <si>
    <t>ASHRAF AHMED ABDELRAHMAN AHMED ALI</t>
  </si>
  <si>
    <t>CHARITO HERNAN MIGALANG</t>
  </si>
  <si>
    <t>DALAL ABDELFATAH MOHAMED NAYEF</t>
  </si>
  <si>
    <t>DINESAN MALIYAKKAL GOPALAN</t>
  </si>
  <si>
    <t>FAISAL SHAUKAT MEHAR SHAUKAT ALI</t>
  </si>
  <si>
    <t>HARIKRISHNAN VISWANATHAN NAIR</t>
  </si>
  <si>
    <t>HOSSAMELDIN BADR</t>
  </si>
  <si>
    <t>IDRIS HYMADJAMIL HYMAD</t>
  </si>
  <si>
    <t>JASNA VELUTHEDATH</t>
  </si>
  <si>
    <t>JAVED KHAN</t>
  </si>
  <si>
    <t>JITHIN JOY JOY</t>
  </si>
  <si>
    <t>KHALED NABEL JARBOUE</t>
  </si>
  <si>
    <t>KOYA KAMMAKKANTE PURAKKAL</t>
  </si>
  <si>
    <t>LUZEFY LORELLA</t>
  </si>
  <si>
    <t>MAHMOUD MOHAMED IBRAHIM HAMID</t>
  </si>
  <si>
    <t>MAROKY JOSEPH JOSEPH</t>
  </si>
  <si>
    <t>MAZIN HAMMOOD MUNEF</t>
  </si>
  <si>
    <t>MOHAMED ABDELFATTAH ABDELAZIZ MOUSSA ELA</t>
  </si>
  <si>
    <t>MOHAMED SHAABAN MOHAMED AHMED</t>
  </si>
  <si>
    <t>MOHAMMED ABDUL GOFUR TAREK</t>
  </si>
  <si>
    <t>MOHAMMED JUNAID NARIKKUNNAN</t>
  </si>
  <si>
    <t>MUHAMMAD FARIS RAYARAMMAN KANDY</t>
  </si>
  <si>
    <t>MUHAMMED RISHAD KAKKAMOOLAKKAL</t>
  </si>
  <si>
    <t>MUHANNAD MUSTAFA</t>
  </si>
  <si>
    <t>NELSON EDANGALINO DUAY</t>
  </si>
  <si>
    <t>PALIS KHAN</t>
  </si>
  <si>
    <t>PRANAV THAZHISSERY PRAKASH</t>
  </si>
  <si>
    <t>PRATHYUSH VADASSERY MOHANAN</t>
  </si>
  <si>
    <t>PREETHI SUNIL KUMAR</t>
  </si>
  <si>
    <t>RAFEEQUE CHATTUMUKKIL</t>
  </si>
  <si>
    <t>SAMEER MUKKANAM KOYILOTH</t>
  </si>
  <si>
    <t>SARATH KARUNAKARAN</t>
  </si>
  <si>
    <t>SUBHASH CHAND</t>
  </si>
  <si>
    <t>SUDEESH C T</t>
  </si>
  <si>
    <t>TIBIN RAVI</t>
  </si>
  <si>
    <t>WESAM MOHAMED AHMED NOUR</t>
  </si>
  <si>
    <t>YAMEN ABOU JAHJAH</t>
  </si>
  <si>
    <t>YASEEN MOHAMMED</t>
  </si>
  <si>
    <t>ZIAD HANI KARA AHMAD</t>
  </si>
  <si>
    <t>SREENIVAS DANDE</t>
  </si>
  <si>
    <t>GEEMON VAZHAPARAMPIL REJI</t>
  </si>
  <si>
    <t xml:space="preserve">Miss Punch -  - </t>
  </si>
  <si>
    <t xml:space="preserve">Absent -  - </t>
  </si>
  <si>
    <t>NASIJA IBRAHIM</t>
  </si>
  <si>
    <t>KRISHNADAS VELAYATHIKOD</t>
  </si>
  <si>
    <t>KANNAN PERINGAYIL KARTHIKEYAN</t>
  </si>
  <si>
    <t>ASHARAF ABBAS</t>
  </si>
  <si>
    <t>FAISAL UBAID KUNJU</t>
  </si>
  <si>
    <t>REJITHKUMAR PANANGATTU RAVEENDRAN</t>
  </si>
  <si>
    <t>CABUENAS CABELLON MARIA SOLEDAD MARIA SO</t>
  </si>
  <si>
    <t>SHARUN KUMAR DERMAL BALAN DERMAL</t>
  </si>
  <si>
    <t>AALIN NAJEEB KAIKKARA MOHAMMED</t>
  </si>
  <si>
    <t>ANURESH PUTHALATH</t>
  </si>
  <si>
    <t>ANDRES MANUEL POQUIZ</t>
  </si>
  <si>
    <t>MOHAMMAD FORHAD UDDIN MASTER FARID UDDIN</t>
  </si>
  <si>
    <t>RANJU PUNNAKKAL</t>
  </si>
  <si>
    <t>MOHAMED MOHAMED FATHY MOHAMED</t>
  </si>
  <si>
    <t>SHAFER KHAN SHARIEF</t>
  </si>
  <si>
    <t>MOHAMMED BILAL KASIM BHASHEER</t>
  </si>
  <si>
    <t>BADERU DUJA EDAMANA KUZHI</t>
  </si>
  <si>
    <t>MOHAMMED SHAFI HUSSAINAR</t>
  </si>
  <si>
    <t>DEEPU THULASIDHARAN</t>
  </si>
  <si>
    <t>MOHAMMED ASIFKHAN NASEER KHAN</t>
  </si>
  <si>
    <t>MUHAMMED NADHEER THAYALE PURAYIL</t>
  </si>
  <si>
    <t>LINCOLN JACOB</t>
  </si>
  <si>
    <t>JEFRY KAPANGYARIHAN MORALES</t>
  </si>
  <si>
    <t>ALAMEEN VALIYAKATH MAMMY</t>
  </si>
  <si>
    <t>ARUNKUMAR CHANDRASEKARAN</t>
  </si>
  <si>
    <t>MUHAMMED RASIM JALALUDHIN</t>
  </si>
  <si>
    <t>SHAMSUDHEEN CHENGANAKKATTIL</t>
  </si>
  <si>
    <t>GEETHU PANAGHATTUMADAM</t>
  </si>
  <si>
    <t>MUHAMMED MUSTHAFA CHOOLUKARAN ABDULMAJEE</t>
  </si>
  <si>
    <t>RANIM BILAL TELBANI</t>
  </si>
  <si>
    <t>MUHAMMED JAMSHEER KUNDUKULI</t>
  </si>
  <si>
    <t>ALASWAQ ALWATANIA LLC OPC</t>
  </si>
  <si>
    <t>MOUSTAFA ELSAID MOHAMED ALSAID GAD EITA</t>
  </si>
  <si>
    <t>ARSHAD KHAN MUZAFAR KHAN</t>
  </si>
  <si>
    <t>SAKKIR KALIYARAKATH KAKKATHARAYIL</t>
  </si>
  <si>
    <t>THAMEEM ABDUL RAHEEM</t>
  </si>
  <si>
    <t>AKHIL POLA</t>
  </si>
  <si>
    <t>FAROOQ KHAN</t>
  </si>
  <si>
    <t>SALLY HASHIM HUSSEIN OMER</t>
  </si>
  <si>
    <t>MUKHLIS FAROOQ</t>
  </si>
  <si>
    <t>LEKSHMI MOHAN KUMAR NAIR</t>
  </si>
  <si>
    <t>PAUL ANTONY THEVARI ANTONI CHACKO THEVAR</t>
  </si>
  <si>
    <t xml:space="preserve">Incomplete working Hours -  - </t>
  </si>
  <si>
    <t>Incomplete working Hours -  - Early Punch-Out</t>
  </si>
  <si>
    <t>Sunday</t>
  </si>
  <si>
    <t xml:space="preserve">Off day Work -  - </t>
  </si>
  <si>
    <t xml:space="preserve">Full Day Work -  - </t>
  </si>
  <si>
    <t xml:space="preserve">Off day -  - </t>
  </si>
  <si>
    <t>Attendance Report  - May 2026</t>
  </si>
  <si>
    <t>Monday</t>
  </si>
  <si>
    <t>Tuesday</t>
  </si>
  <si>
    <t xml:space="preserve"> - Late Punch-In - </t>
  </si>
  <si>
    <t xml:space="preserve">Incomplete working Hours - Late Punch-In - </t>
  </si>
  <si>
    <t>Incomplete working Hours - Late Punch-In - Early Punch-Out</t>
  </si>
  <si>
    <t>Wednesday</t>
  </si>
  <si>
    <t>Thursday</t>
  </si>
  <si>
    <t>Friday</t>
  </si>
  <si>
    <t>Saturday</t>
  </si>
  <si>
    <t xml:space="preserve"> -  - Early Punch-Out</t>
  </si>
  <si>
    <t xml:space="preserve">Sick Leave -  - </t>
  </si>
  <si>
    <t xml:space="preserve">Annual Leave -  - </t>
  </si>
  <si>
    <t xml:space="preserve">LWP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</si>
</sst>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8" x14ac:knownFonts="1">
    <font>
      <sz val="11"/>
      <color theme="1"/>
      <name val="Calibri"/>
      <family val="2"/>
      <scheme val="minor"/>
    </font>
    <font>
      <sz val="13"/>
      <color theme="1"/>
      <name val="Aptos Narrow"/>
      <family val="2"/>
    </font>
    <font>
      <b/>
      <sz val="13"/>
      <color theme="1"/>
      <name val="Aptos Narrow"/>
      <family val="2"/>
    </font>
    <font>
      <sz val="8"/>
      <name val="Calibri"/>
      <family val="2"/>
      <scheme val="minor"/>
    </font>
    <font>
      <sz val="14"/>
      <color theme="1"/>
      <name val="Aptos Narrow"/>
      <family val="2"/>
    </font>
    <font>
      <b/>
      <sz val="14"/>
      <color theme="1"/>
      <name val="Aptos Narrow"/>
      <family val="2"/>
    </font>
    <font>
      <b/>
      <u/>
      <sz val="14"/>
      <color theme="1"/>
      <name val="Aptos Narrow"/>
      <family val="2"/>
    </font>
    <font>
      <b/>
      <u/>
      <sz val="16"/>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164" fontId="1" fillId="0" borderId="0" xfId="0" applyNumberFormat="1" applyFont="1"/>
    <xf numFmtId="0" fontId="2" fillId="0" borderId="0" xfId="0" applyFont="1"/>
    <xf numFmtId="14" fontId="2" fillId="0" borderId="0" xfId="0" applyNumberFormat="1" applyFont="1"/>
    <xf numFmtId="2" fontId="4" fillId="0" borderId="0" xfId="0" applyNumberFormat="1" applyFont="1"/>
    <xf numFmtId="0" fontId="4" fillId="0" borderId="0" xfId="0" applyFont="1"/>
    <xf numFmtId="2" fontId="5" fillId="2" borderId="0" xfId="0" applyNumberFormat="1" applyFont="1" applyFill="1"/>
    <xf numFmtId="0" fontId="6" fillId="0" borderId="0" xfId="0" applyFont="1"/>
    <xf numFmtId="14" fontId="2" fillId="0" borderId="0" xfId="0" applyNumberFormat="1" applyFont="1"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164" fontId="1" fillId="0" borderId="0" xfId="0" applyNumberFormat="1" applyFont="1" applyAlignment="1">
      <alignment horizontal="right" vertical="center"/>
    </xf>
    <xf numFmtId="2" fontId="1" fillId="0" borderId="0" xfId="0" applyNumberFormat="1" applyFont="1" applyAlignment="1">
      <alignment horizontal="right" vertical="center"/>
    </xf>
    <xf numFmtId="0" fontId="1" fillId="0" borderId="0" xfId="0" applyFont="1" applyAlignment="1">
      <alignment horizontal="right" vertical="center"/>
    </xf>
    <xf numFmtId="2" fontId="2" fillId="0" borderId="0" xfId="0" applyNumberFormat="1" applyFont="1" applyAlignment="1">
      <alignment horizontal="right" vertical="center"/>
    </xf>
    <xf numFmtId="0" fontId="7" fillId="0" borderId="0" xfId="0" applyFont="1" applyAlignment="1">
      <alignment horizontal="left"/>
    </xf>
    <xf numFmtId="0" fontId="2" fillId="0" borderId="0" xfId="0" applyNumberFormat="1" applyFont="1" applyAlignment="1">
      <alignment horizontal="left" vertical="center"/>
    </xf>
    <xf numFmtId="0" fontId="1" fillId="0" borderId="0" xfId="0" applyNumberFormat="1" applyFont="1" applyAlignment="1">
      <alignment horizontal="left" vertical="center"/>
    </xf>
  </cellXfs>
  <cellStyles count="1">
    <cellStyle name="Normal" xfId="0" builtinId="0"/>
  </cellStyles>
  <dxfs count="73">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19" formatCode="dd/mm/yyyy"/>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val="0"/>
        <i val="0"/>
        <strike val="0"/>
        <condense val="0"/>
        <extend val="0"/>
        <outline val="0"/>
        <shadow val="0"/>
        <u val="none"/>
        <vertAlign val="baseline"/>
        <sz val="13"/>
        <color theme="1"/>
        <name val="Aptos Narrow"/>
        <family val="2"/>
        <scheme val="none"/>
      </font>
      <numFmt numFmtId="164" formatCode="[$-F400]h:mm:ss\ AM/PM"/>
    </dxf>
    <dxf>
      <font>
        <b val="0"/>
        <i val="0"/>
        <strike val="0"/>
        <condense val="0"/>
        <extend val="0"/>
        <outline val="0"/>
        <shadow val="0"/>
        <u val="none"/>
        <vertAlign val="baseline"/>
        <sz val="13"/>
        <color theme="1"/>
        <name val="Aptos Narrow"/>
        <family val="2"/>
        <scheme val="none"/>
      </font>
      <numFmt numFmtId="164" formatCode="[$-F400]h:mm:ss\ AM/PM"/>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4"/>
        <color theme="1"/>
        <name val="Aptos Narrow"/>
        <family val="2"/>
        <scheme val="none"/>
      </font>
      <numFmt numFmtId="2" formatCode="0.00"/>
      <fill>
        <patternFill patternType="solid">
          <fgColor indexed="64"/>
          <bgColor rgb="FFFFFF00"/>
        </patternFill>
      </fill>
    </dxf>
    <dxf>
      <font>
        <b val="0"/>
        <i val="0"/>
        <strike val="0"/>
        <condense val="0"/>
        <extend val="0"/>
        <outline val="0"/>
        <shadow val="0"/>
        <u val="none"/>
        <vertAlign val="baseline"/>
        <sz val="14"/>
        <color theme="1"/>
        <name val="Aptos Narrow"/>
        <family val="2"/>
        <scheme val="none"/>
      </font>
    </dxf>
    <dxf>
      <font>
        <b val="0"/>
        <i val="0"/>
        <strike val="0"/>
        <condense val="0"/>
        <extend val="0"/>
        <outline val="0"/>
        <shadow val="0"/>
        <u val="none"/>
        <vertAlign val="baseline"/>
        <sz val="14"/>
        <color theme="1"/>
        <name val="Aptos Narrow"/>
        <family val="2"/>
        <scheme val="none"/>
      </font>
      <numFmt numFmtId="2" formatCode="0.00"/>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numFmt numFmtId="19" formatCode="dd/mm/yyyy"/>
    </dxf>
    <dxf>
      <font>
        <b val="0"/>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dxf>
    <dxf>
      <font>
        <b val="0"/>
        <i val="0"/>
        <strike val="0"/>
        <condense val="0"/>
        <extend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1"/>
          <bgColor theme="1"/>
        </patternFill>
      </fill>
    </dxf>
    <dxf>
      <font>
        <b/>
        <color theme="0"/>
      </font>
      <fill>
        <patternFill patternType="solid">
          <fgColor theme="1"/>
          <bgColor theme="1"/>
        </patternFill>
      </fill>
    </dxf>
    <dxf>
      <border>
        <top style="double">
          <color theme="1"/>
        </top>
      </border>
    </dxf>
    <dxf>
      <font>
        <b/>
        <color theme="0"/>
      </font>
      <fill>
        <patternFill patternType="solid">
          <fgColor theme="1"/>
          <bgColor theme="1"/>
        </patternFill>
      </fill>
      <border>
        <bottom style="medium">
          <color theme="1"/>
        </bottom>
      </border>
    </dxf>
    <dxf>
      <font>
        <color theme="1"/>
      </font>
      <fill>
        <gradientFill degree="90">
          <stop position="0">
            <color theme="0"/>
          </stop>
          <stop position="1">
            <color theme="1"/>
          </stop>
        </gradientFill>
      </fill>
      <border diagonalUp="0" diagonalDown="0">
        <left/>
        <right/>
        <top/>
        <bottom/>
        <vertical/>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style="thin">
          <color theme="4"/>
        </left>
        <right style="thin">
          <color theme="4"/>
        </right>
        <top style="thin">
          <color theme="4"/>
        </top>
        <bottom style="thin">
          <color theme="4"/>
        </bottom>
        <vertical style="thin">
          <color theme="4"/>
        </vertical>
        <horizontal style="thin">
          <color theme="4"/>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right/>
        <top/>
        <bottom/>
        <vertical/>
        <horizontal/>
      </border>
    </dxf>
    <dxf>
      <font>
        <strike val="0"/>
      </font>
    </dxf>
    <dxf>
      <font>
        <b/>
        <i val="0"/>
        <sz val="12"/>
        <color auto="1"/>
      </font>
      <fill>
        <gradientFill degree="90">
          <stop position="0">
            <color theme="0"/>
          </stop>
          <stop position="1">
            <color theme="0"/>
          </stop>
        </gradientFill>
      </fill>
      <border diagonalUp="0" diagonalDown="0">
        <left/>
        <right/>
        <top/>
        <bottom/>
        <vertical/>
        <horizontal/>
      </border>
    </dxf>
    <dxf>
      <font>
        <u val="none"/>
        <color theme="0"/>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fill>
        <gradientFill degree="90">
          <stop position="0">
            <color theme="0"/>
          </stop>
          <stop position="1">
            <color theme="1"/>
          </stop>
        </gradientFill>
      </fill>
      <border diagonalUp="0" diagonalDown="0">
        <left/>
        <right/>
        <top/>
        <bottom/>
        <vertical/>
        <horizontal/>
      </border>
    </dxf>
    <dxf>
      <font>
        <b/>
        <color theme="1"/>
      </font>
      <border>
        <bottom style="thin">
          <color theme="4"/>
        </bottom>
        <vertical/>
        <horizontal/>
      </border>
    </dxf>
    <dxf>
      <font>
        <color theme="1"/>
        <name val="Aptos Narrow"/>
        <family val="2"/>
        <scheme val="none"/>
      </font>
      <fill>
        <patternFill patternType="solid">
          <fgColor auto="1"/>
        </patternFill>
      </fill>
      <border diagonalUp="0" diagonalDown="0">
        <left/>
        <right/>
        <top/>
        <bottom/>
        <vertical/>
        <horizontal/>
      </border>
    </dxf>
    <dxf>
      <font>
        <b/>
        <i/>
        <sz val="14"/>
        <color auto="1"/>
      </font>
      <fill>
        <patternFill>
          <bgColor theme="0"/>
        </patternFill>
      </fill>
      <border diagonalUp="0" diagonalDown="0">
        <left/>
        <right/>
        <top/>
        <bottom/>
        <vertical/>
        <horizontal/>
      </border>
    </dxf>
    <dxf>
      <fill>
        <patternFill>
          <fgColor theme="4"/>
        </patternFill>
      </fill>
    </dxf>
  </dxfs>
  <tableStyles count="11" defaultTableStyle="TableStyleLight9 3" defaultPivotStyle="PivotStyleLight16">
    <tableStyle name="Invisible" pivot="0" table="0" count="0" xr9:uid="{1FE5F3EC-636F-49AB-9F4A-81FDA323E1C7}"/>
    <tableStyle name="Slicer Style 1" pivot="0" table="0" count="2" xr9:uid="{21314C26-A2EA-48FB-86CE-D4D8EBF149F4}">
      <tableStyleElement type="headerRow" dxfId="72"/>
    </tableStyle>
    <tableStyle name="Slicer Style 2" pivot="0" table="0" count="3" xr9:uid="{2B65F84C-4E1C-4024-9DF1-2FE45900006F}">
      <tableStyleElement type="headerRow" dxfId="71"/>
    </tableStyle>
    <tableStyle name="SlicerStyleDark1 2" pivot="0" table="0" count="10" xr9:uid="{8AACEAD5-3AC7-4AC3-98B7-E964C8EDA12F}">
      <tableStyleElement type="wholeTable" dxfId="70"/>
      <tableStyleElement type="headerRow" dxfId="69"/>
    </tableStyle>
    <tableStyle name="SlicerStyleDark1 2 2" pivot="0" table="0" count="10" xr9:uid="{7BEEFCBD-B53B-4D8E-8233-11746E43ADB5}">
      <tableStyleElement type="wholeTable" dxfId="68"/>
      <tableStyleElement type="headerRow" dxfId="67"/>
    </tableStyle>
    <tableStyle name="SlicerStyleDark1 3" pivot="0" table="0" count="10" xr9:uid="{7B2201EF-D21D-4A0C-A972-6A6EC6533E89}">
      <tableStyleElement type="wholeTable" dxfId="66"/>
      <tableStyleElement type="headerRow" dxfId="65"/>
    </tableStyle>
    <tableStyle name="SlicerStyleLight1 2" pivot="0" table="0" count="10" xr9:uid="{53F2B6A3-531B-4C72-B5DD-A425105719F7}">
      <tableStyleElement type="wholeTable" dxfId="64"/>
      <tableStyleElement type="headerRow" dxfId="63"/>
    </tableStyle>
    <tableStyle name="Table Style 1" pivot="0" count="1" xr9:uid="{5C688806-E55A-455B-9A06-08835A1E4D31}">
      <tableStyleElement type="wholeTable" dxfId="62"/>
    </tableStyle>
    <tableStyle name="TableStyleLight9 2" pivot="0" count="9" xr9:uid="{A9071208-E8DB-464F-ACE8-58E9777EAF5E}">
      <tableStyleElement type="wholeTable" dxfId="61"/>
      <tableStyleElement type="headerRow" dxfId="60"/>
      <tableStyleElement type="totalRow" dxfId="59"/>
      <tableStyleElement type="firstColumn" dxfId="58"/>
      <tableStyleElement type="lastColumn" dxfId="57"/>
      <tableStyleElement type="firstRowStripe" dxfId="56"/>
      <tableStyleElement type="secondRowStripe" dxfId="55"/>
      <tableStyleElement type="firstColumnStripe" dxfId="54"/>
      <tableStyleElement type="secondColumnStripe" dxfId="53"/>
    </tableStyle>
    <tableStyle name="TableStyleLight9 3" pivot="0" count="9" xr9:uid="{48B5F66B-50C0-4118-9EC2-842A7EC0273B}">
      <tableStyleElement type="wholeTable" dxfId="52"/>
      <tableStyleElement type="headerRow" dxfId="51"/>
      <tableStyleElement type="totalRow" dxfId="50"/>
      <tableStyleElement type="firstColumn" dxfId="49"/>
      <tableStyleElement type="lastColumn" dxfId="48"/>
      <tableStyleElement type="firstRowStripe" dxfId="47"/>
      <tableStyleElement type="secondRowStripe" dxfId="46"/>
      <tableStyleElement type="firstColumnStripe" dxfId="45"/>
      <tableStyleElement type="secondColumnStripe" dxfId="44"/>
    </tableStyle>
    <tableStyle name="TableStyleMedium15 2" pivot="0" count="7" xr9:uid="{47A06906-2FEF-4F40-BA2F-DD93CE9CBF63}">
      <tableStyleElement type="wholeTable" dxfId="43"/>
      <tableStyleElement type="headerRow" dxfId="42"/>
      <tableStyleElement type="totalRow" dxfId="41"/>
      <tableStyleElement type="firstColumn" dxfId="40"/>
      <tableStyleElement type="lastColumn" dxfId="39"/>
      <tableStyleElement type="firstRowStripe" dxfId="38"/>
      <tableStyleElement type="firstColumnStripe" dxfId="37"/>
    </tableStyle>
  </tableStyles>
  <colors>
    <mruColors>
      <color rgb="FFFF66FF"/>
      <color rgb="FFFFCC66"/>
      <color rgb="FFFF7C80"/>
      <color rgb="FFFF9933"/>
      <color rgb="FFFF5050"/>
    </mruColors>
  </colors>
  <extLst>
    <ext xmlns:x14="http://schemas.microsoft.com/office/spreadsheetml/2009/9/main" uri="{46F421CA-312F-682f-3DD2-61675219B42D}">
      <x14:dxfs count="35">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rgb="FF000000"/>
          </font>
          <fill>
            <gradientFill degree="90">
              <stop position="0">
                <color theme="0"/>
              </stop>
              <stop position="1">
                <color theme="0"/>
              </stop>
            </gradient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fgColor theme="0"/>
              <bgColor theme="0"/>
            </patternFill>
          </fill>
        </dxf>
        <dxf>
          <fill>
            <patternFill>
              <fgColor theme="0"/>
              <bgColor theme="4"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StyleLight1 2">
        <x14:slicerStyle name="Slicer Style 1">
          <x14:slicerStyleElements>
            <x14:slicerStyleElement type="selectedItemWithNoData" dxfId="34"/>
          </x14:slicerStyleElements>
        </x14:slicerStyle>
        <x14:slicerStyle name="Slicer Style 2">
          <x14:slicerStyleElements>
            <x14:slicerStyleElement type="selectedItemWithData" dxfId="33"/>
            <x14:slicerStyleElement type="selectedItemWithNoData" dxfId="32"/>
          </x14:slicerStyleElements>
        </x14:slicerStyle>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connections" Target="connection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57149</xdr:colOff>
      <xdr:row>0</xdr:row>
      <xdr:rowOff>38099</xdr:rowOff>
    </xdr:from>
    <xdr:to>
      <xdr:col>2</xdr:col>
      <xdr:colOff>552449</xdr:colOff>
      <xdr:row>8</xdr:row>
      <xdr:rowOff>0</xdr:rowOff>
    </xdr:to>
    <mc:AlternateContent xmlns:mc="http://schemas.openxmlformats.org/markup-compatibility/2006" xmlns:sle15="http://schemas.microsoft.com/office/drawing/2012/slicer">
      <mc:Choice Requires="sle15">
        <xdr:graphicFrame macro="">
          <xdr:nvGraphicFramePr>
            <xdr:cNvPr id="37" name="Name">
              <a:extLst>
                <a:ext uri="{FF2B5EF4-FFF2-40B4-BE49-F238E27FC236}">
                  <a16:creationId xmlns:a16="http://schemas.microsoft.com/office/drawing/2014/main" id="{5AD74DB3-769D-C412-2448-1EDB7D1488E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7149" y="38099"/>
              <a:ext cx="5038725" cy="2228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447675</xdr:colOff>
      <xdr:row>0</xdr:row>
      <xdr:rowOff>38100</xdr:rowOff>
    </xdr:from>
    <xdr:to>
      <xdr:col>7</xdr:col>
      <xdr:colOff>647700</xdr:colOff>
      <xdr:row>8</xdr:row>
      <xdr:rowOff>28575</xdr:rowOff>
    </xdr:to>
    <mc:AlternateContent xmlns:mc="http://schemas.openxmlformats.org/markup-compatibility/2006" xmlns:sle15="http://schemas.microsoft.com/office/drawing/2012/slicer">
      <mc:Choice Requires="sle15">
        <xdr:graphicFrame macro="">
          <xdr:nvGraphicFramePr>
            <xdr:cNvPr id="38" name="Company">
              <a:extLst>
                <a:ext uri="{FF2B5EF4-FFF2-40B4-BE49-F238E27FC236}">
                  <a16:creationId xmlns:a16="http://schemas.microsoft.com/office/drawing/2014/main" id="{7B7D3EF7-5FB5-4063-7E4C-8D3EC3D418B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9020175" y="38100"/>
              <a:ext cx="1790700" cy="2352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685799</xdr:colOff>
      <xdr:row>0</xdr:row>
      <xdr:rowOff>57150</xdr:rowOff>
    </xdr:from>
    <xdr:to>
      <xdr:col>5</xdr:col>
      <xdr:colOff>400049</xdr:colOff>
      <xdr:row>8</xdr:row>
      <xdr:rowOff>38100</xdr:rowOff>
    </xdr:to>
    <mc:AlternateContent xmlns:mc="http://schemas.openxmlformats.org/markup-compatibility/2006" xmlns:sle15="http://schemas.microsoft.com/office/drawing/2012/slicer">
      <mc:Choice Requires="sle15">
        <xdr:graphicFrame macro="">
          <xdr:nvGraphicFramePr>
            <xdr:cNvPr id="39" name="Remarks">
              <a:extLst>
                <a:ext uri="{FF2B5EF4-FFF2-40B4-BE49-F238E27FC236}">
                  <a16:creationId xmlns:a16="http://schemas.microsoft.com/office/drawing/2014/main" id="{4D508518-E5F8-0D22-D89D-799639A48C2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5229224" y="57150"/>
              <a:ext cx="374332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714375</xdr:colOff>
      <xdr:row>0</xdr:row>
      <xdr:rowOff>28575</xdr:rowOff>
    </xdr:from>
    <xdr:to>
      <xdr:col>10</xdr:col>
      <xdr:colOff>1857375</xdr:colOff>
      <xdr:row>8</xdr:row>
      <xdr:rowOff>209550</xdr:rowOff>
    </xdr:to>
    <mc:AlternateContent xmlns:mc="http://schemas.openxmlformats.org/markup-compatibility/2006" xmlns:sle15="http://schemas.microsoft.com/office/drawing/2012/slicer">
      <mc:Choice Requires="sle15">
        <xdr:graphicFrame macro="">
          <xdr:nvGraphicFramePr>
            <xdr:cNvPr id="40" name="Date">
              <a:extLst>
                <a:ext uri="{FF2B5EF4-FFF2-40B4-BE49-F238E27FC236}">
                  <a16:creationId xmlns:a16="http://schemas.microsoft.com/office/drawing/2014/main" id="{297D769B-504B-042E-29F7-7B83D6E7C6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77550" y="28575"/>
              <a:ext cx="410527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7950FDAE-76E3-46D5-8C34-EB9574E30C87}" autoFormatId="16" applyNumberFormats="0" applyBorderFormats="0" applyFontFormats="0" applyPatternFormats="0" applyAlignmentFormats="0" applyWidthHeightFormats="0">
  <queryTableRefresh nextId="23">
    <queryTableFields count="11">
      <queryTableField id="1" name="SAP Id" tableColumnId="1"/>
      <queryTableField id="2" name="Name" tableColumnId="2"/>
      <queryTableField id="4" name="Company" tableColumnId="4"/>
      <queryTableField id="5" name="Date" tableColumnId="5"/>
      <queryTableField id="6" name="Day" tableColumnId="6"/>
      <queryTableField id="7" name="Time In" tableColumnId="7"/>
      <queryTableField id="8" name="Time Out" tableColumnId="8"/>
      <queryTableField id="9" name="Hours Worked" tableColumnId="9"/>
      <queryTableField id="10" name="Duty Hours" tableColumnId="10"/>
      <queryTableField id="11" name="OT Hours" tableColumnId="11"/>
      <queryTableField id="14" name="Remarks"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883F999-9B2C-4897-B0E9-30760877525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0A2C8572-E332-48F7-92C3-ED616FF9F766}" sourceName="Company">
  <extLst>
    <x:ext xmlns:x15="http://schemas.microsoft.com/office/spreadsheetml/2010/11/main" uri="{2F2917AC-EB37-4324-AD4E-5DD8C200BD13}">
      <x15:tableSlicerCache tableId="1"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97F15906-2978-4B5B-82AD-1C20A4D23BB6}" sourceName="Remark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C61FBDC-441F-453F-9962-00E71E153C28}" sourceName="Date">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7E8F55F1-239E-450E-B280-2037284C5EEF}" cache="Slicer_Name" caption="Name" columnCount="3" style="SlicerStyleDark1 2" lockedPosition="1" rowHeight="241300"/>
  <slicer name="Company" xr10:uid="{7C06072B-1BBA-43B6-A194-46703844208E}" cache="Slicer_Company" caption="Company" startItem="1" style="SlicerStyleDark1 2" lockedPosition="1" rowHeight="241300"/>
  <slicer name="Remarks" xr10:uid="{6141E125-EF47-4180-B768-8606611387D7}" cache="Slicer_Remarks" caption="Remarks" startItem="4" columnCount="2" style="SlicerStyleDark1 2" lockedPosition="1" rowHeight="241300"/>
  <slicer name="Date" xr10:uid="{930C90D0-CA3D-4F9E-9B48-79BE437F3C0B}" cache="Slicer_Date" caption="Date" columnCount="4" style="SlicerStyleDark1 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E72064-4D48-4E25-B6FC-05EF559E8059}" name="Table6" displayName="Table6" ref="A12:K840" tableType="queryTable" totalsRowCount="1" headerRowDxfId="36" dataDxfId="35">
  <autoFilter ref="A12:K839" xr:uid="{38E72064-4D48-4E25-B6FC-05EF559E805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2850370-157C-4717-912F-226B418D2C7A}" uniqueName="1" name="SAP Id" queryTableFieldId="1" dataDxfId="10" totalsRowDxfId="34"/>
    <tableColumn id="2" xr3:uid="{8AB4DCA8-95BF-4D19-B4EB-B45DD3495D57}" uniqueName="2" name="Name" queryTableFieldId="2" dataDxfId="9" totalsRowDxfId="33"/>
    <tableColumn id="4" xr3:uid="{689923DA-3190-4DCB-8460-BE50CBDBC44C}" uniqueName="4" name="Company" queryTableFieldId="4" dataDxfId="8" totalsRowDxfId="32"/>
    <tableColumn id="5" xr3:uid="{B57788D8-AC93-4212-B2FF-F5FC6A8F486D}" uniqueName="5" name="Date" queryTableFieldId="5" dataDxfId="7" totalsRowDxfId="31"/>
    <tableColumn id="6" xr3:uid="{4702F40A-50EF-4486-91F2-E2DCD4A57EB5}" uniqueName="6" name="Day" queryTableFieldId="6" dataDxfId="6" totalsRowDxfId="30"/>
    <tableColumn id="7" xr3:uid="{3C08DE8F-A0E3-4013-AE75-879377A411C3}" uniqueName="7" name="Time In" queryTableFieldId="7" dataDxfId="5" totalsRowDxfId="24"/>
    <tableColumn id="8" xr3:uid="{23A4D4FA-A460-40E9-9116-051C4F512F4B}" uniqueName="8" name="Time Out" queryTableFieldId="8" dataDxfId="4" totalsRowDxfId="25"/>
    <tableColumn id="9" xr3:uid="{1D3167A1-CBAB-48DA-9EE8-68E410E7BB2F}" uniqueName="9" name="Hours Worked" totalsRowFunction="sum" queryTableFieldId="9" dataDxfId="3" totalsRowDxfId="29"/>
    <tableColumn id="10" xr3:uid="{8E06DABD-20BF-4D17-B44C-33990DE82B3F}" uniqueName="10" name="Duty Hours" totalsRowFunction="sum" queryTableFieldId="10" dataDxfId="2" totalsRowDxfId="28"/>
    <tableColumn id="11" xr3:uid="{E70A9491-F4BA-41DA-90D8-CF9F942D631D}" uniqueName="11" name="OT Hours" totalsRowFunction="sum" queryTableFieldId="11" dataDxfId="1" totalsRowDxfId="27"/>
    <tableColumn id="3" xr3:uid="{B4C1727F-587E-4B23-9653-834F7C286FCF}" uniqueName="3" name="Remarks" queryTableFieldId="14" dataDxfId="0" totalsRowDxfId="26"/>
  </tableColumns>
  <tableStyleInfo name="TableStyleLight9 3"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9F73B-13D4-4B17-98D3-86534D03765B}">
  <sheetPr codeName="Sheet1">
    <pageSetUpPr fitToPage="1"/>
  </sheetPr>
  <dimension ref="A10:U2436"/>
  <sheetViews>
    <sheetView showGridLines="0" tabSelected="1" zoomScaleNormal="100" workbookViewId="0">
      <pane ySplit="12" topLeftCell="A73" activePane="bottomLeft" state="frozen"/>
      <selection pane="bottomLeft" activeCell="A12" sqref="A12"/>
    </sheetView>
  </sheetViews>
  <sheetFormatPr defaultColWidth="9.140625" defaultRowHeight="17.25" x14ac:dyDescent="0.3"/>
  <cols>
    <col min="1" max="1" width="11.5703125" style="1" bestFit="1" customWidth="1"/>
    <col min="2" max="2" width="56.85546875" style="3" bestFit="1" customWidth="1"/>
    <col min="3" max="3" width="32.85546875" style="1" bestFit="1" customWidth="1"/>
    <col min="4" max="4" width="13.42578125" style="3" bestFit="1" customWidth="1"/>
    <col min="5" max="5" width="13.140625" style="3" bestFit="1" customWidth="1"/>
    <col min="6" max="6" width="11" style="1" bestFit="1" customWidth="1"/>
    <col min="7" max="7" width="12.5703125" style="1" bestFit="1" customWidth="1"/>
    <col min="8" max="8" width="18.140625" style="1" bestFit="1" customWidth="1"/>
    <col min="9" max="9" width="14.85546875" style="1" bestFit="1" customWidth="1"/>
    <col min="10" max="10" width="12.85546875" style="3" bestFit="1" customWidth="1"/>
    <col min="11" max="11" width="62.7109375" style="1" bestFit="1" customWidth="1"/>
    <col min="12" max="12" width="16.140625" style="1" bestFit="1" customWidth="1"/>
    <col min="13" max="13" width="16.7109375" style="1" bestFit="1" customWidth="1"/>
    <col min="14" max="14" width="10" style="1" bestFit="1" customWidth="1"/>
    <col min="15" max="15" width="12.28515625" style="1" bestFit="1" customWidth="1"/>
    <col min="16" max="16" width="62.7109375" style="3" bestFit="1" customWidth="1"/>
    <col min="17" max="17" width="13.140625" style="1" bestFit="1" customWidth="1"/>
    <col min="18" max="18" width="24.5703125" style="1" bestFit="1" customWidth="1"/>
    <col min="19" max="20" width="16.7109375" style="1" bestFit="1" customWidth="1"/>
    <col min="21" max="21" width="65.42578125" style="3" bestFit="1" customWidth="1"/>
    <col min="22" max="22" width="63.5703125" style="1" bestFit="1" customWidth="1"/>
    <col min="23" max="16384" width="9.140625" style="1"/>
  </cols>
  <sheetData>
    <row r="10" spans="1:21" ht="21" x14ac:dyDescent="0.35">
      <c r="A10" s="16" t="s">
        <v>117</v>
      </c>
      <c r="B10" s="16"/>
      <c r="C10" s="16"/>
      <c r="D10" s="16"/>
      <c r="E10" s="16"/>
      <c r="F10" s="16"/>
      <c r="G10" s="16"/>
      <c r="H10" s="16"/>
      <c r="I10" s="16"/>
      <c r="J10" s="16"/>
    </row>
    <row r="11" spans="1:21" ht="18.75" x14ac:dyDescent="0.3">
      <c r="A11" s="8"/>
      <c r="B11" s="8"/>
      <c r="C11" s="8"/>
      <c r="D11" s="8"/>
      <c r="E11" s="8"/>
      <c r="F11" s="8"/>
      <c r="G11" s="8"/>
      <c r="H11" s="8"/>
      <c r="I11" s="8"/>
      <c r="J11" s="8"/>
    </row>
    <row r="12" spans="1:21" x14ac:dyDescent="0.3">
      <c r="A12" s="11" t="s">
        <v>0</v>
      </c>
      <c r="B12" s="10" t="s">
        <v>1</v>
      </c>
      <c r="C12" s="11" t="s">
        <v>2</v>
      </c>
      <c r="D12" s="10" t="s">
        <v>3</v>
      </c>
      <c r="E12" s="10" t="s">
        <v>4</v>
      </c>
      <c r="F12" s="11" t="s">
        <v>5</v>
      </c>
      <c r="G12" s="11" t="s">
        <v>6</v>
      </c>
      <c r="H12" s="11" t="s">
        <v>7</v>
      </c>
      <c r="I12" s="11" t="s">
        <v>8</v>
      </c>
      <c r="J12" s="10" t="s">
        <v>9</v>
      </c>
      <c r="K12" s="10" t="s">
        <v>10</v>
      </c>
      <c r="P12" s="1"/>
      <c r="U12" s="1"/>
    </row>
    <row r="13" spans="1:21" x14ac:dyDescent="0.3">
      <c r="A13" s="11">
        <v>10000302</v>
      </c>
      <c r="B13" s="17" t="s">
        <v>99</v>
      </c>
      <c r="C13" s="18" t="s">
        <v>100</v>
      </c>
      <c r="D13" s="9">
        <v>46194</v>
      </c>
      <c r="E13" s="17" t="s">
        <v>113</v>
      </c>
      <c r="F13" s="12"/>
      <c r="G13" s="12"/>
      <c r="H13" s="13">
        <v>0</v>
      </c>
      <c r="I13" s="14">
        <v>0</v>
      </c>
      <c r="J13" s="15">
        <v>0</v>
      </c>
      <c r="K13" s="17" t="s">
        <v>116</v>
      </c>
      <c r="P13" s="1"/>
      <c r="U13" s="1"/>
    </row>
    <row r="14" spans="1:21" x14ac:dyDescent="0.3">
      <c r="A14" s="11">
        <v>10000302</v>
      </c>
      <c r="B14" s="17" t="s">
        <v>99</v>
      </c>
      <c r="C14" s="18" t="s">
        <v>100</v>
      </c>
      <c r="D14" s="9">
        <v>46195</v>
      </c>
      <c r="E14" s="17" t="s">
        <v>118</v>
      </c>
      <c r="F14" s="12">
        <v>0.34393518518518518</v>
      </c>
      <c r="G14" s="12">
        <v>0.9574421296296296</v>
      </c>
      <c r="H14" s="13">
        <v>14.724166666666665</v>
      </c>
      <c r="I14" s="14">
        <v>9</v>
      </c>
      <c r="J14" s="15">
        <v>5.7241666666666653</v>
      </c>
      <c r="K14" s="17" t="s">
        <v>115</v>
      </c>
      <c r="P14" s="1"/>
      <c r="U14" s="1"/>
    </row>
    <row r="15" spans="1:21" x14ac:dyDescent="0.3">
      <c r="A15" s="11">
        <v>10000302</v>
      </c>
      <c r="B15" s="17" t="s">
        <v>99</v>
      </c>
      <c r="C15" s="18" t="s">
        <v>100</v>
      </c>
      <c r="D15" s="9">
        <v>46196</v>
      </c>
      <c r="E15" s="17" t="s">
        <v>119</v>
      </c>
      <c r="F15" s="12">
        <v>0.3376851851851852</v>
      </c>
      <c r="G15" s="12">
        <v>0.95822916666666669</v>
      </c>
      <c r="H15" s="13">
        <v>14.893055555555556</v>
      </c>
      <c r="I15" s="14">
        <v>9</v>
      </c>
      <c r="J15" s="15">
        <v>5.8930555555555557</v>
      </c>
      <c r="K15" s="17" t="s">
        <v>115</v>
      </c>
      <c r="P15" s="1"/>
      <c r="U15" s="1"/>
    </row>
    <row r="16" spans="1:21" x14ac:dyDescent="0.3">
      <c r="A16" s="11">
        <v>10000302</v>
      </c>
      <c r="B16" s="17" t="s">
        <v>99</v>
      </c>
      <c r="C16" s="18" t="s">
        <v>100</v>
      </c>
      <c r="D16" s="9">
        <v>46197</v>
      </c>
      <c r="E16" s="17" t="s">
        <v>123</v>
      </c>
      <c r="F16" s="12">
        <v>0.34578703703703706</v>
      </c>
      <c r="G16" s="12">
        <v>0.93734953703703705</v>
      </c>
      <c r="H16" s="13">
        <v>14.1975</v>
      </c>
      <c r="I16" s="14">
        <v>9</v>
      </c>
      <c r="J16" s="15">
        <v>5.1974999999999998</v>
      </c>
      <c r="K16" s="17" t="s">
        <v>115</v>
      </c>
      <c r="M16"/>
      <c r="N16"/>
      <c r="O16"/>
      <c r="P16" s="1"/>
      <c r="U16" s="1"/>
    </row>
    <row r="17" spans="1:21" x14ac:dyDescent="0.3">
      <c r="A17" s="11">
        <v>10000302</v>
      </c>
      <c r="B17" s="17" t="s">
        <v>99</v>
      </c>
      <c r="C17" s="18" t="s">
        <v>100</v>
      </c>
      <c r="D17" s="9">
        <v>46198</v>
      </c>
      <c r="E17" s="17" t="s">
        <v>124</v>
      </c>
      <c r="F17" s="12">
        <v>0.35340277777777779</v>
      </c>
      <c r="G17" s="12">
        <v>0.94303240740740746</v>
      </c>
      <c r="H17" s="13">
        <v>14.151111111111113</v>
      </c>
      <c r="I17" s="14">
        <v>9</v>
      </c>
      <c r="J17" s="15">
        <v>5.1511111111111134</v>
      </c>
      <c r="K17" s="17" t="s">
        <v>115</v>
      </c>
      <c r="M17"/>
      <c r="N17"/>
      <c r="O17"/>
      <c r="P17" s="1"/>
      <c r="U17" s="1"/>
    </row>
    <row r="18" spans="1:21" x14ac:dyDescent="0.3">
      <c r="A18" s="11">
        <v>10000302</v>
      </c>
      <c r="B18" s="17" t="s">
        <v>99</v>
      </c>
      <c r="C18" s="18" t="s">
        <v>100</v>
      </c>
      <c r="D18" s="9">
        <v>46199</v>
      </c>
      <c r="E18" s="17" t="s">
        <v>125</v>
      </c>
      <c r="F18" s="12">
        <v>0.3425347222222222</v>
      </c>
      <c r="G18" s="12">
        <v>0.85503472222222221</v>
      </c>
      <c r="H18" s="13">
        <v>12.299999999999999</v>
      </c>
      <c r="I18" s="14">
        <v>4</v>
      </c>
      <c r="J18" s="15">
        <v>8.2999999999999989</v>
      </c>
      <c r="K18" s="17" t="s">
        <v>115</v>
      </c>
      <c r="M18"/>
      <c r="N18"/>
      <c r="O18"/>
      <c r="P18" s="1"/>
      <c r="U18" s="1"/>
    </row>
    <row r="19" spans="1:21" x14ac:dyDescent="0.3">
      <c r="A19" s="11">
        <v>10000302</v>
      </c>
      <c r="B19" s="17" t="s">
        <v>99</v>
      </c>
      <c r="C19" s="18" t="s">
        <v>100</v>
      </c>
      <c r="D19" s="9">
        <v>46200</v>
      </c>
      <c r="E19" s="17" t="s">
        <v>126</v>
      </c>
      <c r="F19" s="12"/>
      <c r="G19" s="12"/>
      <c r="H19" s="13">
        <v>0</v>
      </c>
      <c r="I19" s="14">
        <v>0</v>
      </c>
      <c r="J19" s="15">
        <v>0</v>
      </c>
      <c r="K19" s="17" t="s">
        <v>116</v>
      </c>
      <c r="M19"/>
      <c r="N19"/>
      <c r="O19"/>
      <c r="P19" s="1"/>
      <c r="U19" s="1"/>
    </row>
    <row r="20" spans="1:21" x14ac:dyDescent="0.3">
      <c r="A20" s="11">
        <v>10000302</v>
      </c>
      <c r="B20" s="17" t="s">
        <v>99</v>
      </c>
      <c r="C20" s="18" t="s">
        <v>100</v>
      </c>
      <c r="D20" s="9">
        <v>46201</v>
      </c>
      <c r="E20" s="17" t="s">
        <v>113</v>
      </c>
      <c r="F20" s="12"/>
      <c r="G20" s="12"/>
      <c r="H20" s="13">
        <v>0</v>
      </c>
      <c r="I20" s="14">
        <v>0</v>
      </c>
      <c r="J20" s="15">
        <v>0</v>
      </c>
      <c r="K20" s="17" t="s">
        <v>116</v>
      </c>
      <c r="M20"/>
      <c r="N20"/>
      <c r="O20"/>
      <c r="P20" s="1"/>
      <c r="U20" s="1"/>
    </row>
    <row r="21" spans="1:21" x14ac:dyDescent="0.3">
      <c r="A21" s="11">
        <v>10000302</v>
      </c>
      <c r="B21" s="17" t="s">
        <v>99</v>
      </c>
      <c r="C21" s="18" t="s">
        <v>100</v>
      </c>
      <c r="D21" s="9">
        <v>46202</v>
      </c>
      <c r="E21" s="17" t="s">
        <v>118</v>
      </c>
      <c r="F21" s="12">
        <v>0.35365740740740742</v>
      </c>
      <c r="G21" s="12">
        <v>0.9046643518518519</v>
      </c>
      <c r="H21" s="13">
        <v>13.224166666666669</v>
      </c>
      <c r="I21" s="14">
        <v>9</v>
      </c>
      <c r="J21" s="15">
        <v>4.2241666666666688</v>
      </c>
      <c r="K21" s="17" t="s">
        <v>115</v>
      </c>
      <c r="M21"/>
      <c r="N21"/>
      <c r="O21"/>
      <c r="P21" s="1"/>
      <c r="U21" s="1"/>
    </row>
    <row r="22" spans="1:21" x14ac:dyDescent="0.3">
      <c r="A22" s="11">
        <v>10000406</v>
      </c>
      <c r="B22" s="17" t="s">
        <v>70</v>
      </c>
      <c r="C22" s="18" t="s">
        <v>100</v>
      </c>
      <c r="D22" s="9">
        <v>46194</v>
      </c>
      <c r="E22" s="17" t="s">
        <v>113</v>
      </c>
      <c r="F22" s="12"/>
      <c r="G22" s="12"/>
      <c r="H22" s="13">
        <v>0</v>
      </c>
      <c r="I22" s="14">
        <v>0</v>
      </c>
      <c r="J22" s="15">
        <v>0</v>
      </c>
      <c r="K22" s="17" t="s">
        <v>116</v>
      </c>
      <c r="M22"/>
      <c r="N22"/>
      <c r="O22"/>
      <c r="P22" s="1"/>
      <c r="U22" s="1"/>
    </row>
    <row r="23" spans="1:21" x14ac:dyDescent="0.3">
      <c r="A23" s="11">
        <v>10000406</v>
      </c>
      <c r="B23" s="17" t="s">
        <v>70</v>
      </c>
      <c r="C23" s="18" t="s">
        <v>100</v>
      </c>
      <c r="D23" s="9">
        <v>46195</v>
      </c>
      <c r="E23" s="17" t="s">
        <v>118</v>
      </c>
      <c r="F23" s="12">
        <v>0.32770833333333332</v>
      </c>
      <c r="G23" s="12">
        <v>0.75614583333333329</v>
      </c>
      <c r="H23" s="13">
        <v>10.282499999999999</v>
      </c>
      <c r="I23" s="14">
        <v>9</v>
      </c>
      <c r="J23" s="15">
        <v>1.2824999999999989</v>
      </c>
      <c r="K23" s="17" t="s">
        <v>115</v>
      </c>
      <c r="M23"/>
      <c r="N23"/>
      <c r="O23"/>
      <c r="P23" s="1"/>
      <c r="U23" s="1"/>
    </row>
    <row r="24" spans="1:21" x14ac:dyDescent="0.3">
      <c r="A24" s="11">
        <v>10000406</v>
      </c>
      <c r="B24" s="17" t="s">
        <v>70</v>
      </c>
      <c r="C24" s="18" t="s">
        <v>100</v>
      </c>
      <c r="D24" s="9">
        <v>46196</v>
      </c>
      <c r="E24" s="17" t="s">
        <v>119</v>
      </c>
      <c r="F24" s="12">
        <v>0.32793981481481482</v>
      </c>
      <c r="G24" s="12">
        <v>0.76489583333333333</v>
      </c>
      <c r="H24" s="13">
        <v>10.486944444444443</v>
      </c>
      <c r="I24" s="14">
        <v>9</v>
      </c>
      <c r="J24" s="15">
        <v>1.4869444444444433</v>
      </c>
      <c r="K24" s="17" t="s">
        <v>115</v>
      </c>
      <c r="M24"/>
      <c r="N24"/>
      <c r="O24"/>
      <c r="P24" s="1"/>
      <c r="U24" s="1"/>
    </row>
    <row r="25" spans="1:21" x14ac:dyDescent="0.3">
      <c r="A25" s="11">
        <v>10000406</v>
      </c>
      <c r="B25" s="17" t="s">
        <v>70</v>
      </c>
      <c r="C25" s="18" t="s">
        <v>100</v>
      </c>
      <c r="D25" s="9">
        <v>46197</v>
      </c>
      <c r="E25" s="17" t="s">
        <v>123</v>
      </c>
      <c r="F25" s="12">
        <v>0.3323726851851852</v>
      </c>
      <c r="G25" s="12">
        <v>0.76046296296296301</v>
      </c>
      <c r="H25" s="13">
        <v>10.274166666666668</v>
      </c>
      <c r="I25" s="14">
        <v>9</v>
      </c>
      <c r="J25" s="15">
        <v>1.2741666666666678</v>
      </c>
      <c r="K25" s="17" t="s">
        <v>115</v>
      </c>
      <c r="M25"/>
      <c r="N25"/>
      <c r="O25"/>
      <c r="P25" s="1"/>
      <c r="U25" s="1"/>
    </row>
    <row r="26" spans="1:21" x14ac:dyDescent="0.3">
      <c r="A26" s="11">
        <v>10000406</v>
      </c>
      <c r="B26" s="17" t="s">
        <v>70</v>
      </c>
      <c r="C26" s="18" t="s">
        <v>100</v>
      </c>
      <c r="D26" s="9">
        <v>46198</v>
      </c>
      <c r="E26" s="17" t="s">
        <v>124</v>
      </c>
      <c r="F26" s="12">
        <v>0.33275462962962965</v>
      </c>
      <c r="G26" s="12">
        <v>0.75326388888888884</v>
      </c>
      <c r="H26" s="13">
        <v>10.092222222222221</v>
      </c>
      <c r="I26" s="14">
        <v>9</v>
      </c>
      <c r="J26" s="15">
        <v>1.0922222222222207</v>
      </c>
      <c r="K26" s="17" t="s">
        <v>115</v>
      </c>
      <c r="M26"/>
      <c r="N26"/>
      <c r="O26"/>
      <c r="P26" s="1"/>
      <c r="U26" s="1"/>
    </row>
    <row r="27" spans="1:21" x14ac:dyDescent="0.3">
      <c r="A27" s="11">
        <v>10000406</v>
      </c>
      <c r="B27" s="17" t="s">
        <v>70</v>
      </c>
      <c r="C27" s="18" t="s">
        <v>100</v>
      </c>
      <c r="D27" s="9">
        <v>46199</v>
      </c>
      <c r="E27" s="17" t="s">
        <v>125</v>
      </c>
      <c r="F27" s="12">
        <v>0.32901620370370371</v>
      </c>
      <c r="G27" s="12">
        <v>0.54270833333333335</v>
      </c>
      <c r="H27" s="13">
        <v>5.1286111111111108</v>
      </c>
      <c r="I27" s="14">
        <v>4</v>
      </c>
      <c r="J27" s="15">
        <v>1.1286111111111108</v>
      </c>
      <c r="K27" s="17" t="s">
        <v>115</v>
      </c>
      <c r="M27"/>
      <c r="N27"/>
      <c r="O27"/>
      <c r="P27" s="1"/>
      <c r="U27" s="1"/>
    </row>
    <row r="28" spans="1:21" x14ac:dyDescent="0.3">
      <c r="A28" s="11">
        <v>10000406</v>
      </c>
      <c r="B28" s="17" t="s">
        <v>70</v>
      </c>
      <c r="C28" s="18" t="s">
        <v>100</v>
      </c>
      <c r="D28" s="9">
        <v>46200</v>
      </c>
      <c r="E28" s="17" t="s">
        <v>126</v>
      </c>
      <c r="F28" s="12"/>
      <c r="G28" s="12"/>
      <c r="H28" s="13">
        <v>0</v>
      </c>
      <c r="I28" s="14">
        <v>0</v>
      </c>
      <c r="J28" s="15">
        <v>0</v>
      </c>
      <c r="K28" s="17" t="s">
        <v>116</v>
      </c>
      <c r="M28"/>
      <c r="N28"/>
      <c r="O28"/>
      <c r="P28" s="1"/>
      <c r="U28" s="1"/>
    </row>
    <row r="29" spans="1:21" x14ac:dyDescent="0.3">
      <c r="A29" s="11">
        <v>10000406</v>
      </c>
      <c r="B29" s="17" t="s">
        <v>70</v>
      </c>
      <c r="C29" s="18" t="s">
        <v>100</v>
      </c>
      <c r="D29" s="9">
        <v>46201</v>
      </c>
      <c r="E29" s="17" t="s">
        <v>113</v>
      </c>
      <c r="F29" s="12"/>
      <c r="G29" s="12"/>
      <c r="H29" s="13">
        <v>0</v>
      </c>
      <c r="I29" s="14">
        <v>0</v>
      </c>
      <c r="J29" s="15">
        <v>0</v>
      </c>
      <c r="K29" s="17" t="s">
        <v>116</v>
      </c>
      <c r="M29"/>
      <c r="N29"/>
      <c r="O29"/>
      <c r="P29" s="1"/>
      <c r="U29" s="1"/>
    </row>
    <row r="30" spans="1:21" x14ac:dyDescent="0.3">
      <c r="A30" s="11">
        <v>10000406</v>
      </c>
      <c r="B30" s="17" t="s">
        <v>70</v>
      </c>
      <c r="C30" s="18" t="s">
        <v>100</v>
      </c>
      <c r="D30" s="9">
        <v>46202</v>
      </c>
      <c r="E30" s="17" t="s">
        <v>118</v>
      </c>
      <c r="F30" s="12">
        <v>0.32915509259259257</v>
      </c>
      <c r="G30" s="12">
        <v>0.75334490740740745</v>
      </c>
      <c r="H30" s="13">
        <v>10.180555555555557</v>
      </c>
      <c r="I30" s="14">
        <v>9</v>
      </c>
      <c r="J30" s="15">
        <v>1.1805555555555571</v>
      </c>
      <c r="K30" s="17" t="s">
        <v>115</v>
      </c>
      <c r="M30"/>
      <c r="N30"/>
      <c r="O30"/>
      <c r="P30" s="1"/>
      <c r="U30" s="1"/>
    </row>
    <row r="31" spans="1:21" x14ac:dyDescent="0.3">
      <c r="A31" s="11">
        <v>10000465</v>
      </c>
      <c r="B31" s="17" t="s">
        <v>71</v>
      </c>
      <c r="C31" s="18" t="s">
        <v>100</v>
      </c>
      <c r="D31" s="9">
        <v>46194</v>
      </c>
      <c r="E31" s="17" t="s">
        <v>113</v>
      </c>
      <c r="F31" s="12"/>
      <c r="G31" s="12"/>
      <c r="H31" s="13">
        <v>0</v>
      </c>
      <c r="I31" s="14">
        <v>0</v>
      </c>
      <c r="J31" s="15">
        <v>0</v>
      </c>
      <c r="K31" s="17" t="s">
        <v>116</v>
      </c>
      <c r="M31"/>
      <c r="N31"/>
      <c r="O31"/>
      <c r="P31" s="1"/>
      <c r="U31" s="1"/>
    </row>
    <row r="32" spans="1:21" x14ac:dyDescent="0.3">
      <c r="A32" s="11">
        <v>10000465</v>
      </c>
      <c r="B32" s="17" t="s">
        <v>71</v>
      </c>
      <c r="C32" s="18" t="s">
        <v>100</v>
      </c>
      <c r="D32" s="9">
        <v>46195</v>
      </c>
      <c r="E32" s="17" t="s">
        <v>118</v>
      </c>
      <c r="F32" s="12">
        <v>0.34699074074074077</v>
      </c>
      <c r="G32" s="12">
        <v>0.75623842592592594</v>
      </c>
      <c r="H32" s="13">
        <v>9.8219444444444441</v>
      </c>
      <c r="I32" s="14">
        <v>9</v>
      </c>
      <c r="J32" s="15">
        <v>0.82194444444444414</v>
      </c>
      <c r="K32" s="17" t="s">
        <v>115</v>
      </c>
      <c r="M32"/>
      <c r="N32"/>
      <c r="O32"/>
      <c r="P32" s="1"/>
      <c r="U32" s="1"/>
    </row>
    <row r="33" spans="1:21" x14ac:dyDescent="0.3">
      <c r="A33" s="11">
        <v>10000465</v>
      </c>
      <c r="B33" s="17" t="s">
        <v>71</v>
      </c>
      <c r="C33" s="18" t="s">
        <v>100</v>
      </c>
      <c r="D33" s="9">
        <v>46196</v>
      </c>
      <c r="E33" s="17" t="s">
        <v>119</v>
      </c>
      <c r="F33" s="12">
        <v>0.33726851851851852</v>
      </c>
      <c r="G33" s="12">
        <v>0.76427083333333334</v>
      </c>
      <c r="H33" s="13">
        <v>10.248055555555556</v>
      </c>
      <c r="I33" s="14">
        <v>9</v>
      </c>
      <c r="J33" s="15">
        <v>1.2480555555555561</v>
      </c>
      <c r="K33" s="17" t="s">
        <v>115</v>
      </c>
      <c r="M33"/>
      <c r="N33"/>
      <c r="O33"/>
      <c r="P33" s="1"/>
      <c r="U33" s="1"/>
    </row>
    <row r="34" spans="1:21" x14ac:dyDescent="0.3">
      <c r="A34" s="11">
        <v>10000465</v>
      </c>
      <c r="B34" s="17" t="s">
        <v>71</v>
      </c>
      <c r="C34" s="18" t="s">
        <v>100</v>
      </c>
      <c r="D34" s="9">
        <v>46197</v>
      </c>
      <c r="E34" s="17" t="s">
        <v>123</v>
      </c>
      <c r="F34" s="12">
        <v>0.33879629629629632</v>
      </c>
      <c r="G34" s="12">
        <v>0.75532407407407409</v>
      </c>
      <c r="H34" s="13">
        <v>9.9966666666666661</v>
      </c>
      <c r="I34" s="14">
        <v>9</v>
      </c>
      <c r="J34" s="15">
        <v>0.99666666666666615</v>
      </c>
      <c r="K34" s="17" t="s">
        <v>115</v>
      </c>
      <c r="M34"/>
      <c r="N34"/>
      <c r="O34"/>
      <c r="P34" s="1"/>
      <c r="U34" s="1"/>
    </row>
    <row r="35" spans="1:21" x14ac:dyDescent="0.3">
      <c r="A35" s="11">
        <v>10000465</v>
      </c>
      <c r="B35" s="17" t="s">
        <v>71</v>
      </c>
      <c r="C35" s="18" t="s">
        <v>100</v>
      </c>
      <c r="D35" s="9">
        <v>46198</v>
      </c>
      <c r="E35" s="17" t="s">
        <v>124</v>
      </c>
      <c r="F35" s="12">
        <v>0.34135416666666668</v>
      </c>
      <c r="G35" s="12">
        <v>0.7525115740740741</v>
      </c>
      <c r="H35" s="13">
        <v>9.8677777777777784</v>
      </c>
      <c r="I35" s="14">
        <v>9</v>
      </c>
      <c r="J35" s="15">
        <v>0.86777777777777843</v>
      </c>
      <c r="K35" s="17" t="s">
        <v>115</v>
      </c>
      <c r="M35"/>
      <c r="N35"/>
      <c r="O35"/>
      <c r="P35" s="1"/>
      <c r="U35" s="1"/>
    </row>
    <row r="36" spans="1:21" x14ac:dyDescent="0.3">
      <c r="A36" s="11">
        <v>10000465</v>
      </c>
      <c r="B36" s="17" t="s">
        <v>71</v>
      </c>
      <c r="C36" s="18" t="s">
        <v>100</v>
      </c>
      <c r="D36" s="9">
        <v>46199</v>
      </c>
      <c r="E36" s="17" t="s">
        <v>125</v>
      </c>
      <c r="F36" s="12">
        <v>0.33520833333333333</v>
      </c>
      <c r="G36" s="12">
        <v>0.54262731481481485</v>
      </c>
      <c r="H36" s="13">
        <v>4.9780555555555566</v>
      </c>
      <c r="I36" s="14">
        <v>4</v>
      </c>
      <c r="J36" s="15">
        <v>0.97805555555555657</v>
      </c>
      <c r="K36" s="17" t="s">
        <v>115</v>
      </c>
      <c r="M36"/>
      <c r="N36"/>
      <c r="O36"/>
      <c r="P36" s="1"/>
      <c r="U36" s="1"/>
    </row>
    <row r="37" spans="1:21" x14ac:dyDescent="0.3">
      <c r="A37" s="11">
        <v>10000465</v>
      </c>
      <c r="B37" s="17" t="s">
        <v>71</v>
      </c>
      <c r="C37" s="18" t="s">
        <v>100</v>
      </c>
      <c r="D37" s="9">
        <v>46200</v>
      </c>
      <c r="E37" s="17" t="s">
        <v>126</v>
      </c>
      <c r="F37" s="12"/>
      <c r="G37" s="12"/>
      <c r="H37" s="13">
        <v>0</v>
      </c>
      <c r="I37" s="14">
        <v>0</v>
      </c>
      <c r="J37" s="15">
        <v>0</v>
      </c>
      <c r="K37" s="17" t="s">
        <v>116</v>
      </c>
      <c r="M37"/>
      <c r="N37"/>
      <c r="O37"/>
      <c r="P37" s="1"/>
      <c r="U37" s="1"/>
    </row>
    <row r="38" spans="1:21" x14ac:dyDescent="0.3">
      <c r="A38" s="11">
        <v>10000465</v>
      </c>
      <c r="B38" s="17" t="s">
        <v>71</v>
      </c>
      <c r="C38" s="18" t="s">
        <v>100</v>
      </c>
      <c r="D38" s="9">
        <v>46201</v>
      </c>
      <c r="E38" s="17" t="s">
        <v>113</v>
      </c>
      <c r="F38" s="12"/>
      <c r="G38" s="12"/>
      <c r="H38" s="13">
        <v>0</v>
      </c>
      <c r="I38" s="14">
        <v>0</v>
      </c>
      <c r="J38" s="15">
        <v>0</v>
      </c>
      <c r="K38" s="17" t="s">
        <v>116</v>
      </c>
      <c r="M38"/>
      <c r="N38"/>
      <c r="O38"/>
      <c r="P38" s="1"/>
      <c r="U38" s="1"/>
    </row>
    <row r="39" spans="1:21" x14ac:dyDescent="0.3">
      <c r="A39" s="11">
        <v>10000465</v>
      </c>
      <c r="B39" s="17" t="s">
        <v>71</v>
      </c>
      <c r="C39" s="18" t="s">
        <v>100</v>
      </c>
      <c r="D39" s="9">
        <v>46202</v>
      </c>
      <c r="E39" s="17" t="s">
        <v>118</v>
      </c>
      <c r="F39" s="12">
        <v>0.34153935185185186</v>
      </c>
      <c r="G39" s="12">
        <v>0.76775462962962959</v>
      </c>
      <c r="H39" s="13">
        <v>10.229166666666666</v>
      </c>
      <c r="I39" s="14">
        <v>9</v>
      </c>
      <c r="J39" s="15">
        <v>1.2291666666666661</v>
      </c>
      <c r="K39" s="17" t="s">
        <v>115</v>
      </c>
      <c r="M39"/>
      <c r="N39"/>
      <c r="O39"/>
      <c r="P39" s="1"/>
      <c r="U39" s="1"/>
    </row>
    <row r="40" spans="1:21" x14ac:dyDescent="0.3">
      <c r="A40" s="11">
        <v>10000521</v>
      </c>
      <c r="B40" s="17" t="s">
        <v>54</v>
      </c>
      <c r="C40" s="18" t="s">
        <v>100</v>
      </c>
      <c r="D40" s="9">
        <v>46194</v>
      </c>
      <c r="E40" s="17" t="s">
        <v>113</v>
      </c>
      <c r="F40" s="12"/>
      <c r="G40" s="12"/>
      <c r="H40" s="13">
        <v>0</v>
      </c>
      <c r="I40" s="14">
        <v>0</v>
      </c>
      <c r="J40" s="15">
        <v>0</v>
      </c>
      <c r="K40" s="17" t="s">
        <v>116</v>
      </c>
      <c r="M40"/>
      <c r="N40"/>
      <c r="O40"/>
      <c r="P40" s="1"/>
      <c r="U40" s="1"/>
    </row>
    <row r="41" spans="1:21" x14ac:dyDescent="0.3">
      <c r="A41" s="11">
        <v>10000521</v>
      </c>
      <c r="B41" s="17" t="s">
        <v>54</v>
      </c>
      <c r="C41" s="18" t="s">
        <v>100</v>
      </c>
      <c r="D41" s="9">
        <v>46195</v>
      </c>
      <c r="E41" s="17" t="s">
        <v>118</v>
      </c>
      <c r="F41" s="12">
        <v>0.34962962962962962</v>
      </c>
      <c r="G41" s="12">
        <v>0.74226851851851849</v>
      </c>
      <c r="H41" s="13">
        <v>9.423333333333332</v>
      </c>
      <c r="I41" s="14">
        <v>9</v>
      </c>
      <c r="J41" s="15">
        <v>0.42333333333333201</v>
      </c>
      <c r="K41" s="17" t="s">
        <v>115</v>
      </c>
      <c r="M41"/>
      <c r="N41"/>
      <c r="O41"/>
      <c r="P41" s="1"/>
      <c r="U41" s="1"/>
    </row>
    <row r="42" spans="1:21" x14ac:dyDescent="0.3">
      <c r="A42" s="11">
        <v>10000521</v>
      </c>
      <c r="B42" s="17" t="s">
        <v>54</v>
      </c>
      <c r="C42" s="18" t="s">
        <v>100</v>
      </c>
      <c r="D42" s="9">
        <v>46196</v>
      </c>
      <c r="E42" s="17" t="s">
        <v>119</v>
      </c>
      <c r="F42" s="12">
        <v>0.35167824074074072</v>
      </c>
      <c r="G42" s="12">
        <v>0.75443287037037032</v>
      </c>
      <c r="H42" s="13">
        <v>9.6661111111111104</v>
      </c>
      <c r="I42" s="14">
        <v>9</v>
      </c>
      <c r="J42" s="15">
        <v>0.66611111111111043</v>
      </c>
      <c r="K42" s="17" t="s">
        <v>115</v>
      </c>
      <c r="M42"/>
      <c r="N42"/>
      <c r="O42"/>
      <c r="P42" s="1"/>
      <c r="U42" s="1"/>
    </row>
    <row r="43" spans="1:21" x14ac:dyDescent="0.3">
      <c r="A43" s="11">
        <v>10000521</v>
      </c>
      <c r="B43" s="17" t="s">
        <v>54</v>
      </c>
      <c r="C43" s="18" t="s">
        <v>100</v>
      </c>
      <c r="D43" s="9">
        <v>46197</v>
      </c>
      <c r="E43" s="17" t="s">
        <v>123</v>
      </c>
      <c r="F43" s="12">
        <v>0.35180555555555554</v>
      </c>
      <c r="G43" s="12">
        <v>0.74420138888888887</v>
      </c>
      <c r="H43" s="13">
        <v>9.4175000000000004</v>
      </c>
      <c r="I43" s="14">
        <v>9</v>
      </c>
      <c r="J43" s="15">
        <v>0.41750000000000043</v>
      </c>
      <c r="K43" s="17" t="s">
        <v>115</v>
      </c>
      <c r="M43"/>
      <c r="N43"/>
      <c r="O43"/>
      <c r="P43" s="1"/>
      <c r="U43" s="1"/>
    </row>
    <row r="44" spans="1:21" x14ac:dyDescent="0.3">
      <c r="A44" s="11">
        <v>10000521</v>
      </c>
      <c r="B44" s="17" t="s">
        <v>54</v>
      </c>
      <c r="C44" s="18" t="s">
        <v>100</v>
      </c>
      <c r="D44" s="9">
        <v>46198</v>
      </c>
      <c r="E44" s="17" t="s">
        <v>124</v>
      </c>
      <c r="F44" s="12">
        <v>0.34972222222222221</v>
      </c>
      <c r="G44" s="12">
        <v>0.7465856481481481</v>
      </c>
      <c r="H44" s="13">
        <v>9.5247222222222216</v>
      </c>
      <c r="I44" s="14">
        <v>9</v>
      </c>
      <c r="J44" s="15">
        <v>0.52472222222222165</v>
      </c>
      <c r="K44" s="17" t="s">
        <v>115</v>
      </c>
      <c r="M44"/>
      <c r="N44"/>
      <c r="O44"/>
      <c r="P44" s="1"/>
      <c r="U44" s="1"/>
    </row>
    <row r="45" spans="1:21" x14ac:dyDescent="0.3">
      <c r="A45" s="11">
        <v>10000521</v>
      </c>
      <c r="B45" s="17" t="s">
        <v>54</v>
      </c>
      <c r="C45" s="18" t="s">
        <v>100</v>
      </c>
      <c r="D45" s="9">
        <v>46199</v>
      </c>
      <c r="E45" s="17" t="s">
        <v>125</v>
      </c>
      <c r="F45" s="12">
        <v>0.35172453703703704</v>
      </c>
      <c r="G45" s="12">
        <v>0.53400462962962958</v>
      </c>
      <c r="H45" s="13">
        <v>4.3747222222222213</v>
      </c>
      <c r="I45" s="14">
        <v>4</v>
      </c>
      <c r="J45" s="15">
        <v>0.37472222222222129</v>
      </c>
      <c r="K45" s="17" t="s">
        <v>115</v>
      </c>
      <c r="M45"/>
      <c r="N45"/>
      <c r="O45"/>
      <c r="P45" s="1"/>
      <c r="U45" s="1"/>
    </row>
    <row r="46" spans="1:21" x14ac:dyDescent="0.3">
      <c r="A46" s="11">
        <v>10000521</v>
      </c>
      <c r="B46" s="17" t="s">
        <v>54</v>
      </c>
      <c r="C46" s="18" t="s">
        <v>100</v>
      </c>
      <c r="D46" s="9">
        <v>46200</v>
      </c>
      <c r="E46" s="17" t="s">
        <v>126</v>
      </c>
      <c r="F46" s="12"/>
      <c r="G46" s="12"/>
      <c r="H46" s="13">
        <v>0</v>
      </c>
      <c r="I46" s="14">
        <v>0</v>
      </c>
      <c r="J46" s="15">
        <v>0</v>
      </c>
      <c r="K46" s="17" t="s">
        <v>116</v>
      </c>
      <c r="M46"/>
      <c r="N46"/>
      <c r="O46"/>
      <c r="P46" s="1"/>
      <c r="U46" s="1"/>
    </row>
    <row r="47" spans="1:21" x14ac:dyDescent="0.3">
      <c r="A47" s="11">
        <v>10000521</v>
      </c>
      <c r="B47" s="17" t="s">
        <v>54</v>
      </c>
      <c r="C47" s="18" t="s">
        <v>100</v>
      </c>
      <c r="D47" s="9">
        <v>46201</v>
      </c>
      <c r="E47" s="17" t="s">
        <v>113</v>
      </c>
      <c r="F47" s="12"/>
      <c r="G47" s="12"/>
      <c r="H47" s="13">
        <v>0</v>
      </c>
      <c r="I47" s="14">
        <v>0</v>
      </c>
      <c r="J47" s="15">
        <v>0</v>
      </c>
      <c r="K47" s="17" t="s">
        <v>116</v>
      </c>
      <c r="M47"/>
      <c r="N47"/>
      <c r="O47"/>
      <c r="P47" s="1"/>
      <c r="U47" s="1"/>
    </row>
    <row r="48" spans="1:21" x14ac:dyDescent="0.3">
      <c r="A48" s="11">
        <v>10000521</v>
      </c>
      <c r="B48" s="17" t="s">
        <v>54</v>
      </c>
      <c r="C48" s="18" t="s">
        <v>100</v>
      </c>
      <c r="D48" s="9">
        <v>46202</v>
      </c>
      <c r="E48" s="17" t="s">
        <v>118</v>
      </c>
      <c r="F48" s="12">
        <v>0.35402777777777777</v>
      </c>
      <c r="G48" s="12">
        <v>0.73725694444444445</v>
      </c>
      <c r="H48" s="13">
        <v>9.1974999999999998</v>
      </c>
      <c r="I48" s="14">
        <v>9</v>
      </c>
      <c r="J48" s="15">
        <v>0.19749999999999979</v>
      </c>
      <c r="K48" s="17" t="s">
        <v>115</v>
      </c>
      <c r="M48"/>
      <c r="N48"/>
      <c r="O48"/>
      <c r="P48" s="1"/>
      <c r="U48" s="1"/>
    </row>
    <row r="49" spans="1:21" x14ac:dyDescent="0.3">
      <c r="A49" s="11">
        <v>10000522</v>
      </c>
      <c r="B49" s="17" t="s">
        <v>60</v>
      </c>
      <c r="C49" s="18" t="s">
        <v>100</v>
      </c>
      <c r="D49" s="9">
        <v>46194</v>
      </c>
      <c r="E49" s="17" t="s">
        <v>113</v>
      </c>
      <c r="F49" s="12"/>
      <c r="G49" s="12"/>
      <c r="H49" s="13">
        <v>0</v>
      </c>
      <c r="I49" s="14">
        <v>0</v>
      </c>
      <c r="J49" s="15">
        <v>0</v>
      </c>
      <c r="K49" s="17" t="s">
        <v>116</v>
      </c>
      <c r="M49"/>
      <c r="N49"/>
      <c r="O49"/>
      <c r="P49" s="1"/>
      <c r="U49" s="1"/>
    </row>
    <row r="50" spans="1:21" x14ac:dyDescent="0.3">
      <c r="A50" s="11">
        <v>10000522</v>
      </c>
      <c r="B50" s="17" t="s">
        <v>60</v>
      </c>
      <c r="C50" s="18" t="s">
        <v>100</v>
      </c>
      <c r="D50" s="9">
        <v>46195</v>
      </c>
      <c r="E50" s="17" t="s">
        <v>118</v>
      </c>
      <c r="F50" s="12">
        <v>0.34666666666666668</v>
      </c>
      <c r="G50" s="12">
        <v>0.80555555555555558</v>
      </c>
      <c r="H50" s="13">
        <v>11.013333333333334</v>
      </c>
      <c r="I50" s="14">
        <v>9</v>
      </c>
      <c r="J50" s="15">
        <v>2.0133333333333336</v>
      </c>
      <c r="K50" s="17" t="s">
        <v>115</v>
      </c>
      <c r="M50"/>
      <c r="N50"/>
      <c r="O50"/>
      <c r="P50" s="1"/>
      <c r="U50" s="1"/>
    </row>
    <row r="51" spans="1:21" x14ac:dyDescent="0.3">
      <c r="A51" s="11">
        <v>10000522</v>
      </c>
      <c r="B51" s="17" t="s">
        <v>60</v>
      </c>
      <c r="C51" s="18" t="s">
        <v>100</v>
      </c>
      <c r="D51" s="9">
        <v>46196</v>
      </c>
      <c r="E51" s="17" t="s">
        <v>119</v>
      </c>
      <c r="F51" s="12">
        <v>0.34769675925925925</v>
      </c>
      <c r="G51" s="12">
        <v>0.82973379629629629</v>
      </c>
      <c r="H51" s="13">
        <v>11.568888888888889</v>
      </c>
      <c r="I51" s="14">
        <v>9</v>
      </c>
      <c r="J51" s="15">
        <v>2.568888888888889</v>
      </c>
      <c r="K51" s="17" t="s">
        <v>115</v>
      </c>
      <c r="M51"/>
      <c r="N51"/>
      <c r="O51"/>
      <c r="P51" s="1"/>
      <c r="U51" s="1"/>
    </row>
    <row r="52" spans="1:21" x14ac:dyDescent="0.3">
      <c r="A52" s="11">
        <v>10000522</v>
      </c>
      <c r="B52" s="17" t="s">
        <v>60</v>
      </c>
      <c r="C52" s="18" t="s">
        <v>100</v>
      </c>
      <c r="D52" s="9">
        <v>46197</v>
      </c>
      <c r="E52" s="17" t="s">
        <v>123</v>
      </c>
      <c r="F52" s="12">
        <v>0.34974537037037035</v>
      </c>
      <c r="G52" s="12">
        <v>0.81269675925925922</v>
      </c>
      <c r="H52" s="13">
        <v>11.110833333333332</v>
      </c>
      <c r="I52" s="14">
        <v>9</v>
      </c>
      <c r="J52" s="15">
        <v>2.110833333333332</v>
      </c>
      <c r="K52" s="17" t="s">
        <v>115</v>
      </c>
      <c r="M52"/>
      <c r="N52"/>
      <c r="O52"/>
      <c r="P52" s="1"/>
      <c r="U52" s="1"/>
    </row>
    <row r="53" spans="1:21" x14ac:dyDescent="0.3">
      <c r="A53" s="11">
        <v>10000522</v>
      </c>
      <c r="B53" s="17" t="s">
        <v>60</v>
      </c>
      <c r="C53" s="18" t="s">
        <v>100</v>
      </c>
      <c r="D53" s="9">
        <v>46198</v>
      </c>
      <c r="E53" s="17" t="s">
        <v>124</v>
      </c>
      <c r="F53" s="12">
        <v>0.34814814814814815</v>
      </c>
      <c r="G53" s="12">
        <v>0.94311342592592595</v>
      </c>
      <c r="H53" s="13">
        <v>14.279166666666669</v>
      </c>
      <c r="I53" s="14">
        <v>9</v>
      </c>
      <c r="J53" s="15">
        <v>5.2791666666666686</v>
      </c>
      <c r="K53" s="17" t="s">
        <v>115</v>
      </c>
      <c r="M53"/>
      <c r="N53"/>
      <c r="O53"/>
      <c r="P53" s="1"/>
      <c r="U53" s="1"/>
    </row>
    <row r="54" spans="1:21" x14ac:dyDescent="0.3">
      <c r="A54" s="11">
        <v>10000522</v>
      </c>
      <c r="B54" s="17" t="s">
        <v>60</v>
      </c>
      <c r="C54" s="18" t="s">
        <v>100</v>
      </c>
      <c r="D54" s="9">
        <v>46199</v>
      </c>
      <c r="E54" s="17" t="s">
        <v>125</v>
      </c>
      <c r="F54" s="12">
        <v>0.34907407407407409</v>
      </c>
      <c r="G54" s="12">
        <v>0.34907407407407409</v>
      </c>
      <c r="H54" s="13">
        <v>0</v>
      </c>
      <c r="I54" s="14">
        <v>4</v>
      </c>
      <c r="J54" s="15">
        <v>-4</v>
      </c>
      <c r="K54" s="17" t="s">
        <v>67</v>
      </c>
      <c r="M54"/>
      <c r="N54"/>
      <c r="O54"/>
      <c r="P54" s="1"/>
      <c r="U54" s="1"/>
    </row>
    <row r="55" spans="1:21" x14ac:dyDescent="0.3">
      <c r="A55" s="11">
        <v>10000522</v>
      </c>
      <c r="B55" s="17" t="s">
        <v>60</v>
      </c>
      <c r="C55" s="18" t="s">
        <v>100</v>
      </c>
      <c r="D55" s="9">
        <v>46200</v>
      </c>
      <c r="E55" s="17" t="s">
        <v>126</v>
      </c>
      <c r="F55" s="12"/>
      <c r="G55" s="12"/>
      <c r="H55" s="13">
        <v>0</v>
      </c>
      <c r="I55" s="14">
        <v>0</v>
      </c>
      <c r="J55" s="15">
        <v>0</v>
      </c>
      <c r="K55" s="17" t="s">
        <v>116</v>
      </c>
      <c r="M55"/>
      <c r="N55"/>
      <c r="O55"/>
      <c r="P55" s="1"/>
      <c r="U55" s="1"/>
    </row>
    <row r="56" spans="1:21" x14ac:dyDescent="0.3">
      <c r="A56" s="11">
        <v>10000522</v>
      </c>
      <c r="B56" s="17" t="s">
        <v>60</v>
      </c>
      <c r="C56" s="18" t="s">
        <v>100</v>
      </c>
      <c r="D56" s="9">
        <v>46201</v>
      </c>
      <c r="E56" s="17" t="s">
        <v>113</v>
      </c>
      <c r="F56" s="12"/>
      <c r="G56" s="12"/>
      <c r="H56" s="13">
        <v>0</v>
      </c>
      <c r="I56" s="14">
        <v>0</v>
      </c>
      <c r="J56" s="15">
        <v>0</v>
      </c>
      <c r="K56" s="17" t="s">
        <v>116</v>
      </c>
      <c r="M56"/>
      <c r="N56"/>
      <c r="O56"/>
      <c r="P56" s="1"/>
      <c r="U56" s="1"/>
    </row>
    <row r="57" spans="1:21" x14ac:dyDescent="0.3">
      <c r="A57" s="11">
        <v>10000522</v>
      </c>
      <c r="B57" s="17" t="s">
        <v>60</v>
      </c>
      <c r="C57" s="18" t="s">
        <v>100</v>
      </c>
      <c r="D57" s="9">
        <v>46202</v>
      </c>
      <c r="E57" s="17" t="s">
        <v>118</v>
      </c>
      <c r="F57" s="12">
        <v>0.3528587962962963</v>
      </c>
      <c r="G57" s="12">
        <v>0.3528587962962963</v>
      </c>
      <c r="H57" s="13">
        <v>0</v>
      </c>
      <c r="I57" s="14">
        <v>9</v>
      </c>
      <c r="J57" s="15">
        <v>-9</v>
      </c>
      <c r="K57" s="17" t="s">
        <v>67</v>
      </c>
      <c r="M57"/>
      <c r="N57"/>
      <c r="O57"/>
      <c r="P57" s="1"/>
      <c r="U57" s="1"/>
    </row>
    <row r="58" spans="1:21" x14ac:dyDescent="0.3">
      <c r="A58" s="11">
        <v>10000538</v>
      </c>
      <c r="B58" s="17" t="s">
        <v>72</v>
      </c>
      <c r="C58" s="18" t="s">
        <v>100</v>
      </c>
      <c r="D58" s="9">
        <v>46194</v>
      </c>
      <c r="E58" s="17" t="s">
        <v>113</v>
      </c>
      <c r="F58" s="12"/>
      <c r="G58" s="12"/>
      <c r="H58" s="13">
        <v>0</v>
      </c>
      <c r="I58" s="14">
        <v>0</v>
      </c>
      <c r="J58" s="15">
        <v>0</v>
      </c>
      <c r="K58" s="17" t="s">
        <v>116</v>
      </c>
      <c r="M58"/>
      <c r="N58"/>
      <c r="O58"/>
      <c r="P58" s="1"/>
      <c r="U58" s="1"/>
    </row>
    <row r="59" spans="1:21" x14ac:dyDescent="0.3">
      <c r="A59" s="11">
        <v>10000538</v>
      </c>
      <c r="B59" s="17" t="s">
        <v>72</v>
      </c>
      <c r="C59" s="18" t="s">
        <v>100</v>
      </c>
      <c r="D59" s="9">
        <v>46195</v>
      </c>
      <c r="E59" s="17" t="s">
        <v>118</v>
      </c>
      <c r="F59" s="12">
        <v>0.32156249999999997</v>
      </c>
      <c r="G59" s="12">
        <v>0.76424768518518515</v>
      </c>
      <c r="H59" s="13">
        <v>10.624444444444444</v>
      </c>
      <c r="I59" s="14">
        <v>9</v>
      </c>
      <c r="J59" s="15">
        <v>1.6244444444444444</v>
      </c>
      <c r="K59" s="17" t="s">
        <v>115</v>
      </c>
      <c r="M59"/>
      <c r="N59"/>
      <c r="O59"/>
      <c r="P59" s="1"/>
      <c r="U59" s="1"/>
    </row>
    <row r="60" spans="1:21" x14ac:dyDescent="0.3">
      <c r="A60" s="11">
        <v>10000538</v>
      </c>
      <c r="B60" s="17" t="s">
        <v>72</v>
      </c>
      <c r="C60" s="18" t="s">
        <v>100</v>
      </c>
      <c r="D60" s="9">
        <v>46196</v>
      </c>
      <c r="E60" s="17" t="s">
        <v>119</v>
      </c>
      <c r="F60" s="12">
        <v>0.32195601851851852</v>
      </c>
      <c r="G60" s="12">
        <v>0.7825347222222222</v>
      </c>
      <c r="H60" s="13">
        <v>11.053888888888888</v>
      </c>
      <c r="I60" s="14">
        <v>9</v>
      </c>
      <c r="J60" s="15">
        <v>2.0538888888888884</v>
      </c>
      <c r="K60" s="17" t="s">
        <v>115</v>
      </c>
      <c r="M60"/>
      <c r="N60"/>
      <c r="O60"/>
      <c r="P60" s="1"/>
      <c r="U60" s="1"/>
    </row>
    <row r="61" spans="1:21" x14ac:dyDescent="0.3">
      <c r="A61" s="11">
        <v>10000538</v>
      </c>
      <c r="B61" s="17" t="s">
        <v>72</v>
      </c>
      <c r="C61" s="18" t="s">
        <v>100</v>
      </c>
      <c r="D61" s="9">
        <v>46197</v>
      </c>
      <c r="E61" s="17" t="s">
        <v>123</v>
      </c>
      <c r="F61" s="12">
        <v>0.32252314814814814</v>
      </c>
      <c r="G61" s="12">
        <v>0.74414351851851857</v>
      </c>
      <c r="H61" s="13">
        <v>10.11888888888889</v>
      </c>
      <c r="I61" s="14">
        <v>9</v>
      </c>
      <c r="J61" s="15">
        <v>1.1188888888888897</v>
      </c>
      <c r="K61" s="17" t="s">
        <v>115</v>
      </c>
      <c r="M61"/>
      <c r="N61"/>
      <c r="O61"/>
      <c r="P61" s="1"/>
      <c r="U61" s="1"/>
    </row>
    <row r="62" spans="1:21" x14ac:dyDescent="0.3">
      <c r="A62" s="11">
        <v>10000538</v>
      </c>
      <c r="B62" s="17" t="s">
        <v>72</v>
      </c>
      <c r="C62" s="18" t="s">
        <v>100</v>
      </c>
      <c r="D62" s="9">
        <v>46198</v>
      </c>
      <c r="E62" s="17" t="s">
        <v>124</v>
      </c>
      <c r="F62" s="12">
        <v>0.32363425925925926</v>
      </c>
      <c r="G62" s="12">
        <v>0.73630787037037038</v>
      </c>
      <c r="H62" s="13">
        <v>9.9041666666666668</v>
      </c>
      <c r="I62" s="14">
        <v>9</v>
      </c>
      <c r="J62" s="15">
        <v>0.90416666666666679</v>
      </c>
      <c r="K62" s="17" t="s">
        <v>115</v>
      </c>
      <c r="M62"/>
      <c r="N62"/>
      <c r="O62"/>
      <c r="P62" s="1"/>
      <c r="U62" s="1"/>
    </row>
    <row r="63" spans="1:21" x14ac:dyDescent="0.3">
      <c r="A63" s="11">
        <v>10000538</v>
      </c>
      <c r="B63" s="17" t="s">
        <v>72</v>
      </c>
      <c r="C63" s="18" t="s">
        <v>100</v>
      </c>
      <c r="D63" s="9">
        <v>46199</v>
      </c>
      <c r="E63" s="17" t="s">
        <v>125</v>
      </c>
      <c r="F63" s="12">
        <v>0.32173611111111111</v>
      </c>
      <c r="G63" s="12">
        <v>0.5131134259259259</v>
      </c>
      <c r="H63" s="13">
        <v>4.593055555555555</v>
      </c>
      <c r="I63" s="14">
        <v>4</v>
      </c>
      <c r="J63" s="15">
        <v>0.593055555555555</v>
      </c>
      <c r="K63" s="17" t="s">
        <v>115</v>
      </c>
      <c r="M63"/>
      <c r="N63"/>
      <c r="O63"/>
      <c r="P63" s="1"/>
      <c r="U63" s="1"/>
    </row>
    <row r="64" spans="1:21" x14ac:dyDescent="0.3">
      <c r="A64" s="11">
        <v>10000538</v>
      </c>
      <c r="B64" s="17" t="s">
        <v>72</v>
      </c>
      <c r="C64" s="18" t="s">
        <v>100</v>
      </c>
      <c r="D64" s="9">
        <v>46200</v>
      </c>
      <c r="E64" s="17" t="s">
        <v>126</v>
      </c>
      <c r="F64" s="12"/>
      <c r="G64" s="12"/>
      <c r="H64" s="13">
        <v>0</v>
      </c>
      <c r="I64" s="14">
        <v>0</v>
      </c>
      <c r="J64" s="15">
        <v>0</v>
      </c>
      <c r="K64" s="17" t="s">
        <v>116</v>
      </c>
      <c r="M64"/>
      <c r="N64"/>
      <c r="O64"/>
      <c r="P64" s="1"/>
      <c r="U64" s="1"/>
    </row>
    <row r="65" spans="1:21" x14ac:dyDescent="0.3">
      <c r="A65" s="11">
        <v>10000538</v>
      </c>
      <c r="B65" s="17" t="s">
        <v>72</v>
      </c>
      <c r="C65" s="18" t="s">
        <v>100</v>
      </c>
      <c r="D65" s="9">
        <v>46201</v>
      </c>
      <c r="E65" s="17" t="s">
        <v>113</v>
      </c>
      <c r="F65" s="12"/>
      <c r="G65" s="12"/>
      <c r="H65" s="13">
        <v>0</v>
      </c>
      <c r="I65" s="14">
        <v>0</v>
      </c>
      <c r="J65" s="15">
        <v>0</v>
      </c>
      <c r="K65" s="17" t="s">
        <v>116</v>
      </c>
      <c r="M65"/>
      <c r="N65"/>
      <c r="O65"/>
      <c r="P65" s="1"/>
      <c r="U65" s="1"/>
    </row>
    <row r="66" spans="1:21" x14ac:dyDescent="0.3">
      <c r="A66" s="11">
        <v>10000538</v>
      </c>
      <c r="B66" s="17" t="s">
        <v>72</v>
      </c>
      <c r="C66" s="18" t="s">
        <v>100</v>
      </c>
      <c r="D66" s="9">
        <v>46202</v>
      </c>
      <c r="E66" s="17" t="s">
        <v>118</v>
      </c>
      <c r="F66" s="12">
        <v>0.32261574074074073</v>
      </c>
      <c r="G66" s="12">
        <v>0.74575231481481485</v>
      </c>
      <c r="H66" s="13">
        <v>10.15527777777778</v>
      </c>
      <c r="I66" s="14">
        <v>9</v>
      </c>
      <c r="J66" s="15">
        <v>1.1552777777777798</v>
      </c>
      <c r="K66" s="17" t="s">
        <v>115</v>
      </c>
      <c r="M66"/>
      <c r="N66"/>
      <c r="O66"/>
      <c r="P66" s="1"/>
      <c r="U66" s="1"/>
    </row>
    <row r="67" spans="1:21" x14ac:dyDescent="0.3">
      <c r="A67" s="11">
        <v>10000573</v>
      </c>
      <c r="B67" s="17" t="s">
        <v>53</v>
      </c>
      <c r="C67" s="18" t="s">
        <v>100</v>
      </c>
      <c r="D67" s="9">
        <v>46194</v>
      </c>
      <c r="E67" s="17" t="s">
        <v>113</v>
      </c>
      <c r="F67" s="12"/>
      <c r="G67" s="12"/>
      <c r="H67" s="13">
        <v>0</v>
      </c>
      <c r="I67" s="14">
        <v>0</v>
      </c>
      <c r="J67" s="15">
        <v>0</v>
      </c>
      <c r="K67" s="17" t="s">
        <v>116</v>
      </c>
      <c r="M67"/>
      <c r="N67"/>
      <c r="O67"/>
      <c r="P67" s="1"/>
      <c r="U67" s="1"/>
    </row>
    <row r="68" spans="1:21" x14ac:dyDescent="0.3">
      <c r="A68" s="11">
        <v>10000573</v>
      </c>
      <c r="B68" s="17" t="s">
        <v>53</v>
      </c>
      <c r="C68" s="18" t="s">
        <v>100</v>
      </c>
      <c r="D68" s="9">
        <v>46195</v>
      </c>
      <c r="E68" s="17" t="s">
        <v>118</v>
      </c>
      <c r="F68" s="12">
        <v>0.30766203703703704</v>
      </c>
      <c r="G68" s="12">
        <v>0.7132060185185185</v>
      </c>
      <c r="H68" s="13">
        <v>9.7330555555555556</v>
      </c>
      <c r="I68" s="14">
        <v>9</v>
      </c>
      <c r="J68" s="15">
        <v>0.73305555555555557</v>
      </c>
      <c r="K68" s="17" t="s">
        <v>115</v>
      </c>
      <c r="M68"/>
      <c r="N68"/>
      <c r="O68"/>
      <c r="P68" s="1"/>
      <c r="U68" s="1"/>
    </row>
    <row r="69" spans="1:21" x14ac:dyDescent="0.3">
      <c r="A69" s="11">
        <v>10000573</v>
      </c>
      <c r="B69" s="17" t="s">
        <v>53</v>
      </c>
      <c r="C69" s="18" t="s">
        <v>100</v>
      </c>
      <c r="D69" s="9">
        <v>46196</v>
      </c>
      <c r="E69" s="17" t="s">
        <v>119</v>
      </c>
      <c r="F69" s="12">
        <v>0.31443287037037038</v>
      </c>
      <c r="G69" s="12">
        <v>0.77079861111111114</v>
      </c>
      <c r="H69" s="13">
        <v>10.952777777777779</v>
      </c>
      <c r="I69" s="14">
        <v>9</v>
      </c>
      <c r="J69" s="15">
        <v>1.9527777777777793</v>
      </c>
      <c r="K69" s="17" t="s">
        <v>115</v>
      </c>
      <c r="M69"/>
      <c r="N69"/>
      <c r="O69"/>
      <c r="P69" s="1"/>
      <c r="U69" s="1"/>
    </row>
    <row r="70" spans="1:21" x14ac:dyDescent="0.3">
      <c r="A70" s="11">
        <v>10000573</v>
      </c>
      <c r="B70" s="17" t="s">
        <v>53</v>
      </c>
      <c r="C70" s="18" t="s">
        <v>100</v>
      </c>
      <c r="D70" s="9">
        <v>46197</v>
      </c>
      <c r="E70" s="17" t="s">
        <v>123</v>
      </c>
      <c r="F70" s="12">
        <v>0.3105324074074074</v>
      </c>
      <c r="G70" s="12">
        <v>0.71724537037037039</v>
      </c>
      <c r="H70" s="13">
        <v>9.7611111111111128</v>
      </c>
      <c r="I70" s="14">
        <v>9</v>
      </c>
      <c r="J70" s="15">
        <v>0.76111111111111285</v>
      </c>
      <c r="K70" s="17" t="s">
        <v>115</v>
      </c>
      <c r="M70"/>
      <c r="N70"/>
      <c r="O70"/>
      <c r="P70" s="1"/>
      <c r="U70" s="1"/>
    </row>
    <row r="71" spans="1:21" x14ac:dyDescent="0.3">
      <c r="A71" s="11">
        <v>10000573</v>
      </c>
      <c r="B71" s="17" t="s">
        <v>53</v>
      </c>
      <c r="C71" s="18" t="s">
        <v>100</v>
      </c>
      <c r="D71" s="9">
        <v>46198</v>
      </c>
      <c r="E71" s="17" t="s">
        <v>124</v>
      </c>
      <c r="F71" s="12">
        <v>0.31431712962962965</v>
      </c>
      <c r="G71" s="12">
        <v>0.71652777777777776</v>
      </c>
      <c r="H71" s="13">
        <v>9.6530555555555537</v>
      </c>
      <c r="I71" s="14">
        <v>9</v>
      </c>
      <c r="J71" s="15">
        <v>0.65305555555555372</v>
      </c>
      <c r="K71" s="17" t="s">
        <v>115</v>
      </c>
      <c r="M71"/>
      <c r="N71"/>
      <c r="O71"/>
      <c r="P71" s="1"/>
      <c r="U71" s="1"/>
    </row>
    <row r="72" spans="1:21" x14ac:dyDescent="0.3">
      <c r="A72" s="11">
        <v>10000573</v>
      </c>
      <c r="B72" s="17" t="s">
        <v>53</v>
      </c>
      <c r="C72" s="18" t="s">
        <v>100</v>
      </c>
      <c r="D72" s="9">
        <v>46199</v>
      </c>
      <c r="E72" s="17" t="s">
        <v>125</v>
      </c>
      <c r="F72" s="12">
        <v>0.31403935185185183</v>
      </c>
      <c r="G72" s="12">
        <v>0.52924768518518517</v>
      </c>
      <c r="H72" s="13">
        <v>5.165</v>
      </c>
      <c r="I72" s="14">
        <v>4</v>
      </c>
      <c r="J72" s="15">
        <v>1.165</v>
      </c>
      <c r="K72" s="17" t="s">
        <v>115</v>
      </c>
      <c r="M72"/>
      <c r="N72"/>
      <c r="O72"/>
      <c r="P72" s="1"/>
      <c r="U72" s="1"/>
    </row>
    <row r="73" spans="1:21" x14ac:dyDescent="0.3">
      <c r="A73" s="11">
        <v>10000573</v>
      </c>
      <c r="B73" s="17" t="s">
        <v>53</v>
      </c>
      <c r="C73" s="18" t="s">
        <v>100</v>
      </c>
      <c r="D73" s="9">
        <v>46200</v>
      </c>
      <c r="E73" s="17" t="s">
        <v>126</v>
      </c>
      <c r="F73" s="12"/>
      <c r="G73" s="12"/>
      <c r="H73" s="13">
        <v>0</v>
      </c>
      <c r="I73" s="14">
        <v>0</v>
      </c>
      <c r="J73" s="15">
        <v>0</v>
      </c>
      <c r="K73" s="17" t="s">
        <v>116</v>
      </c>
      <c r="M73"/>
      <c r="N73"/>
      <c r="O73"/>
      <c r="P73" s="1"/>
      <c r="U73" s="1"/>
    </row>
    <row r="74" spans="1:21" x14ac:dyDescent="0.3">
      <c r="A74" s="11">
        <v>10000573</v>
      </c>
      <c r="B74" s="17" t="s">
        <v>53</v>
      </c>
      <c r="C74" s="18" t="s">
        <v>100</v>
      </c>
      <c r="D74" s="9">
        <v>46201</v>
      </c>
      <c r="E74" s="17" t="s">
        <v>113</v>
      </c>
      <c r="F74" s="12"/>
      <c r="G74" s="12"/>
      <c r="H74" s="13">
        <v>0</v>
      </c>
      <c r="I74" s="14">
        <v>0</v>
      </c>
      <c r="J74" s="15">
        <v>0</v>
      </c>
      <c r="K74" s="17" t="s">
        <v>116</v>
      </c>
      <c r="M74"/>
      <c r="N74"/>
      <c r="O74"/>
      <c r="P74" s="1"/>
      <c r="U74" s="1"/>
    </row>
    <row r="75" spans="1:21" x14ac:dyDescent="0.3">
      <c r="A75" s="11">
        <v>10000573</v>
      </c>
      <c r="B75" s="17" t="s">
        <v>53</v>
      </c>
      <c r="C75" s="18" t="s">
        <v>100</v>
      </c>
      <c r="D75" s="9">
        <v>46202</v>
      </c>
      <c r="E75" s="17" t="s">
        <v>118</v>
      </c>
      <c r="F75" s="12">
        <v>0.31737268518518519</v>
      </c>
      <c r="G75" s="12">
        <v>0.72799768518518515</v>
      </c>
      <c r="H75" s="13">
        <v>9.8549999999999986</v>
      </c>
      <c r="I75" s="14">
        <v>9</v>
      </c>
      <c r="J75" s="15">
        <v>0.85499999999999865</v>
      </c>
      <c r="K75" s="17" t="s">
        <v>115</v>
      </c>
      <c r="M75"/>
      <c r="N75"/>
      <c r="O75"/>
      <c r="P75" s="1"/>
      <c r="U75" s="1"/>
    </row>
    <row r="76" spans="1:21" x14ac:dyDescent="0.3">
      <c r="A76" s="11">
        <v>10000584</v>
      </c>
      <c r="B76" s="17" t="s">
        <v>73</v>
      </c>
      <c r="C76" s="18" t="s">
        <v>11</v>
      </c>
      <c r="D76" s="9">
        <v>46194</v>
      </c>
      <c r="E76" s="17" t="s">
        <v>113</v>
      </c>
      <c r="F76" s="12"/>
      <c r="G76" s="12"/>
      <c r="H76" s="13">
        <v>0</v>
      </c>
      <c r="I76" s="14">
        <v>0</v>
      </c>
      <c r="J76" s="15">
        <v>0</v>
      </c>
      <c r="K76" s="17" t="s">
        <v>116</v>
      </c>
      <c r="M76"/>
      <c r="N76"/>
      <c r="O76"/>
      <c r="P76" s="1"/>
      <c r="U76" s="1"/>
    </row>
    <row r="77" spans="1:21" x14ac:dyDescent="0.3">
      <c r="A77" s="11">
        <v>10000584</v>
      </c>
      <c r="B77" s="17" t="s">
        <v>73</v>
      </c>
      <c r="C77" s="18" t="s">
        <v>11</v>
      </c>
      <c r="D77" s="9">
        <v>46195</v>
      </c>
      <c r="E77" s="17" t="s">
        <v>118</v>
      </c>
      <c r="F77" s="12">
        <v>0.33327546296296295</v>
      </c>
      <c r="G77" s="12">
        <v>0.72901620370370368</v>
      </c>
      <c r="H77" s="13">
        <v>9.4977777777777774</v>
      </c>
      <c r="I77" s="14">
        <v>9</v>
      </c>
      <c r="J77" s="15">
        <v>0.49777777777777743</v>
      </c>
      <c r="K77" s="17" t="s">
        <v>115</v>
      </c>
      <c r="M77"/>
      <c r="N77"/>
      <c r="O77"/>
      <c r="P77" s="1"/>
      <c r="U77" s="1"/>
    </row>
    <row r="78" spans="1:21" x14ac:dyDescent="0.3">
      <c r="A78" s="11">
        <v>10000584</v>
      </c>
      <c r="B78" s="17" t="s">
        <v>73</v>
      </c>
      <c r="C78" s="18" t="s">
        <v>11</v>
      </c>
      <c r="D78" s="9">
        <v>46196</v>
      </c>
      <c r="E78" s="17" t="s">
        <v>119</v>
      </c>
      <c r="F78" s="12">
        <v>0.33716435185185184</v>
      </c>
      <c r="G78" s="12">
        <v>0.73946759259259254</v>
      </c>
      <c r="H78" s="13">
        <v>9.6552777777777763</v>
      </c>
      <c r="I78" s="14">
        <v>9</v>
      </c>
      <c r="J78" s="15">
        <v>0.65527777777777629</v>
      </c>
      <c r="K78" s="17" t="s">
        <v>115</v>
      </c>
      <c r="M78"/>
      <c r="N78"/>
      <c r="O78"/>
      <c r="P78" s="1"/>
      <c r="U78" s="1"/>
    </row>
    <row r="79" spans="1:21" x14ac:dyDescent="0.3">
      <c r="A79" s="11">
        <v>10000584</v>
      </c>
      <c r="B79" s="17" t="s">
        <v>73</v>
      </c>
      <c r="C79" s="18" t="s">
        <v>11</v>
      </c>
      <c r="D79" s="9">
        <v>46197</v>
      </c>
      <c r="E79" s="17" t="s">
        <v>123</v>
      </c>
      <c r="F79" s="12">
        <v>0.32953703703703702</v>
      </c>
      <c r="G79" s="12">
        <v>0.73090277777777779</v>
      </c>
      <c r="H79" s="13">
        <v>9.632777777777779</v>
      </c>
      <c r="I79" s="14">
        <v>9</v>
      </c>
      <c r="J79" s="15">
        <v>0.63277777777777899</v>
      </c>
      <c r="K79" s="17" t="s">
        <v>115</v>
      </c>
      <c r="M79"/>
      <c r="N79"/>
      <c r="O79"/>
      <c r="P79" s="1"/>
      <c r="U79" s="1"/>
    </row>
    <row r="80" spans="1:21" x14ac:dyDescent="0.3">
      <c r="A80" s="11">
        <v>10000584</v>
      </c>
      <c r="B80" s="17" t="s">
        <v>73</v>
      </c>
      <c r="C80" s="18" t="s">
        <v>11</v>
      </c>
      <c r="D80" s="9">
        <v>46198</v>
      </c>
      <c r="E80" s="17" t="s">
        <v>124</v>
      </c>
      <c r="F80" s="12">
        <v>0.32768518518518519</v>
      </c>
      <c r="G80" s="12">
        <v>0.7493981481481482</v>
      </c>
      <c r="H80" s="13">
        <v>10.121111111111112</v>
      </c>
      <c r="I80" s="14">
        <v>9</v>
      </c>
      <c r="J80" s="15">
        <v>1.1211111111111123</v>
      </c>
      <c r="K80" s="17" t="s">
        <v>115</v>
      </c>
      <c r="M80"/>
      <c r="N80"/>
      <c r="O80"/>
      <c r="P80" s="1"/>
      <c r="U80" s="1"/>
    </row>
    <row r="81" spans="1:21" x14ac:dyDescent="0.3">
      <c r="A81" s="11">
        <v>10000584</v>
      </c>
      <c r="B81" s="17" t="s">
        <v>73</v>
      </c>
      <c r="C81" s="18" t="s">
        <v>11</v>
      </c>
      <c r="D81" s="9">
        <v>46199</v>
      </c>
      <c r="E81" s="17" t="s">
        <v>125</v>
      </c>
      <c r="F81" s="12">
        <v>0.33744212962962961</v>
      </c>
      <c r="G81" s="12">
        <v>0.5295023148148148</v>
      </c>
      <c r="H81" s="13">
        <v>4.6094444444444447</v>
      </c>
      <c r="I81" s="14">
        <v>4</v>
      </c>
      <c r="J81" s="15">
        <v>0.60944444444444468</v>
      </c>
      <c r="K81" s="17" t="s">
        <v>115</v>
      </c>
      <c r="M81"/>
      <c r="N81"/>
      <c r="O81"/>
      <c r="P81" s="1"/>
      <c r="U81" s="1"/>
    </row>
    <row r="82" spans="1:21" x14ac:dyDescent="0.3">
      <c r="A82" s="11">
        <v>10000584</v>
      </c>
      <c r="B82" s="17" t="s">
        <v>73</v>
      </c>
      <c r="C82" s="18" t="s">
        <v>11</v>
      </c>
      <c r="D82" s="9">
        <v>46200</v>
      </c>
      <c r="E82" s="17" t="s">
        <v>126</v>
      </c>
      <c r="F82" s="12"/>
      <c r="G82" s="12"/>
      <c r="H82" s="13">
        <v>0</v>
      </c>
      <c r="I82" s="14">
        <v>0</v>
      </c>
      <c r="J82" s="15">
        <v>0</v>
      </c>
      <c r="K82" s="17" t="s">
        <v>116</v>
      </c>
      <c r="M82"/>
      <c r="N82"/>
      <c r="O82"/>
      <c r="P82" s="1"/>
      <c r="U82" s="1"/>
    </row>
    <row r="83" spans="1:21" x14ac:dyDescent="0.3">
      <c r="A83" s="11">
        <v>10000584</v>
      </c>
      <c r="B83" s="17" t="s">
        <v>73</v>
      </c>
      <c r="C83" s="18" t="s">
        <v>11</v>
      </c>
      <c r="D83" s="9">
        <v>46201</v>
      </c>
      <c r="E83" s="17" t="s">
        <v>113</v>
      </c>
      <c r="F83" s="12"/>
      <c r="G83" s="12"/>
      <c r="H83" s="13">
        <v>0</v>
      </c>
      <c r="I83" s="14">
        <v>0</v>
      </c>
      <c r="J83" s="15">
        <v>0</v>
      </c>
      <c r="K83" s="17" t="s">
        <v>116</v>
      </c>
      <c r="M83"/>
      <c r="N83"/>
      <c r="O83"/>
      <c r="P83" s="1"/>
      <c r="U83" s="1"/>
    </row>
    <row r="84" spans="1:21" x14ac:dyDescent="0.3">
      <c r="A84" s="11">
        <v>10000584</v>
      </c>
      <c r="B84" s="17" t="s">
        <v>73</v>
      </c>
      <c r="C84" s="18" t="s">
        <v>11</v>
      </c>
      <c r="D84" s="9">
        <v>46202</v>
      </c>
      <c r="E84" s="17" t="s">
        <v>118</v>
      </c>
      <c r="F84" s="12">
        <v>0.33599537037037036</v>
      </c>
      <c r="G84" s="12">
        <v>0.73712962962962958</v>
      </c>
      <c r="H84" s="13">
        <v>9.6272222222222208</v>
      </c>
      <c r="I84" s="14">
        <v>9</v>
      </c>
      <c r="J84" s="15">
        <v>0.62722222222222079</v>
      </c>
      <c r="K84" s="17" t="s">
        <v>115</v>
      </c>
      <c r="M84"/>
      <c r="N84"/>
      <c r="O84"/>
      <c r="P84" s="1"/>
      <c r="U84" s="1"/>
    </row>
    <row r="85" spans="1:21" x14ac:dyDescent="0.3">
      <c r="A85" s="11">
        <v>10000593</v>
      </c>
      <c r="B85" s="17" t="s">
        <v>52</v>
      </c>
      <c r="C85" s="18" t="s">
        <v>100</v>
      </c>
      <c r="D85" s="9">
        <v>46194</v>
      </c>
      <c r="E85" s="17" t="s">
        <v>113</v>
      </c>
      <c r="F85" s="12">
        <v>0.60396990740740741</v>
      </c>
      <c r="G85" s="12">
        <v>0.74136574074074069</v>
      </c>
      <c r="H85" s="13">
        <v>3.2974999999999985</v>
      </c>
      <c r="I85" s="14">
        <v>0</v>
      </c>
      <c r="J85" s="15">
        <v>3.2974999999999985</v>
      </c>
      <c r="K85" s="17" t="s">
        <v>114</v>
      </c>
      <c r="M85"/>
      <c r="N85"/>
      <c r="O85"/>
      <c r="P85" s="1"/>
      <c r="U85" s="1"/>
    </row>
    <row r="86" spans="1:21" x14ac:dyDescent="0.3">
      <c r="A86" s="11">
        <v>10000593</v>
      </c>
      <c r="B86" s="17" t="s">
        <v>52</v>
      </c>
      <c r="C86" s="18" t="s">
        <v>100</v>
      </c>
      <c r="D86" s="9">
        <v>46195</v>
      </c>
      <c r="E86" s="17" t="s">
        <v>118</v>
      </c>
      <c r="F86" s="12">
        <v>0.3505787037037037</v>
      </c>
      <c r="G86" s="12">
        <v>0.80862268518518521</v>
      </c>
      <c r="H86" s="13">
        <v>10.993055555555557</v>
      </c>
      <c r="I86" s="14">
        <v>9</v>
      </c>
      <c r="J86" s="15">
        <v>1.9930555555555571</v>
      </c>
      <c r="K86" s="17" t="s">
        <v>115</v>
      </c>
      <c r="M86"/>
      <c r="N86"/>
      <c r="O86"/>
      <c r="P86" s="1"/>
      <c r="U86" s="1"/>
    </row>
    <row r="87" spans="1:21" x14ac:dyDescent="0.3">
      <c r="A87" s="11">
        <v>10000593</v>
      </c>
      <c r="B87" s="17" t="s">
        <v>52</v>
      </c>
      <c r="C87" s="18" t="s">
        <v>100</v>
      </c>
      <c r="D87" s="9">
        <v>46196</v>
      </c>
      <c r="E87" s="17" t="s">
        <v>119</v>
      </c>
      <c r="F87" s="12">
        <v>0.35811342592592593</v>
      </c>
      <c r="G87" s="12">
        <v>0.80320601851851847</v>
      </c>
      <c r="H87" s="13">
        <v>10.682222222222221</v>
      </c>
      <c r="I87" s="14">
        <v>9</v>
      </c>
      <c r="J87" s="15">
        <v>1.6822222222222205</v>
      </c>
      <c r="K87" s="17" t="s">
        <v>120</v>
      </c>
      <c r="M87"/>
      <c r="N87"/>
      <c r="O87"/>
      <c r="P87" s="1"/>
      <c r="U87" s="1"/>
    </row>
    <row r="88" spans="1:21" x14ac:dyDescent="0.3">
      <c r="A88" s="11">
        <v>10000593</v>
      </c>
      <c r="B88" s="17" t="s">
        <v>52</v>
      </c>
      <c r="C88" s="18" t="s">
        <v>100</v>
      </c>
      <c r="D88" s="9">
        <v>46197</v>
      </c>
      <c r="E88" s="17" t="s">
        <v>123</v>
      </c>
      <c r="F88" s="12">
        <v>0.35391203703703705</v>
      </c>
      <c r="G88" s="12">
        <v>0.78680555555555554</v>
      </c>
      <c r="H88" s="13">
        <v>10.389444444444443</v>
      </c>
      <c r="I88" s="14">
        <v>9</v>
      </c>
      <c r="J88" s="15">
        <v>1.3894444444444431</v>
      </c>
      <c r="K88" s="17" t="s">
        <v>115</v>
      </c>
      <c r="M88"/>
      <c r="N88"/>
      <c r="O88"/>
      <c r="P88" s="1"/>
      <c r="U88" s="1"/>
    </row>
    <row r="89" spans="1:21" x14ac:dyDescent="0.3">
      <c r="A89" s="11">
        <v>10000593</v>
      </c>
      <c r="B89" s="17" t="s">
        <v>52</v>
      </c>
      <c r="C89" s="18" t="s">
        <v>100</v>
      </c>
      <c r="D89" s="9">
        <v>46198</v>
      </c>
      <c r="E89" s="17" t="s">
        <v>124</v>
      </c>
      <c r="F89" s="12">
        <v>0.35415509259259259</v>
      </c>
      <c r="G89" s="12">
        <v>0.88365740740740739</v>
      </c>
      <c r="H89" s="13">
        <v>12.708055555555555</v>
      </c>
      <c r="I89" s="14">
        <v>9</v>
      </c>
      <c r="J89" s="15">
        <v>3.7080555555555552</v>
      </c>
      <c r="K89" s="17" t="s">
        <v>115</v>
      </c>
      <c r="M89"/>
      <c r="N89"/>
      <c r="O89"/>
      <c r="P89" s="1"/>
      <c r="U89" s="1"/>
    </row>
    <row r="90" spans="1:21" x14ac:dyDescent="0.3">
      <c r="A90" s="11">
        <v>10000593</v>
      </c>
      <c r="B90" s="17" t="s">
        <v>52</v>
      </c>
      <c r="C90" s="18" t="s">
        <v>100</v>
      </c>
      <c r="D90" s="9">
        <v>46199</v>
      </c>
      <c r="E90" s="17" t="s">
        <v>125</v>
      </c>
      <c r="F90" s="12">
        <v>0.36253472222222222</v>
      </c>
      <c r="G90" s="12">
        <v>0.54984953703703698</v>
      </c>
      <c r="H90" s="13">
        <v>4.4955555555555549</v>
      </c>
      <c r="I90" s="14">
        <v>4</v>
      </c>
      <c r="J90" s="15">
        <v>0.49555555555555486</v>
      </c>
      <c r="K90" s="17" t="s">
        <v>120</v>
      </c>
      <c r="M90"/>
      <c r="N90"/>
      <c r="O90"/>
      <c r="P90" s="1"/>
      <c r="U90" s="1"/>
    </row>
    <row r="91" spans="1:21" x14ac:dyDescent="0.3">
      <c r="A91" s="11">
        <v>10000593</v>
      </c>
      <c r="B91" s="17" t="s">
        <v>52</v>
      </c>
      <c r="C91" s="18" t="s">
        <v>100</v>
      </c>
      <c r="D91" s="9">
        <v>46200</v>
      </c>
      <c r="E91" s="17" t="s">
        <v>126</v>
      </c>
      <c r="F91" s="12"/>
      <c r="G91" s="12"/>
      <c r="H91" s="13">
        <v>0</v>
      </c>
      <c r="I91" s="14">
        <v>0</v>
      </c>
      <c r="J91" s="15">
        <v>0</v>
      </c>
      <c r="K91" s="17" t="s">
        <v>116</v>
      </c>
      <c r="M91"/>
      <c r="N91"/>
      <c r="O91"/>
      <c r="P91" s="1"/>
      <c r="U91" s="1"/>
    </row>
    <row r="92" spans="1:21" x14ac:dyDescent="0.3">
      <c r="A92" s="11">
        <v>10000593</v>
      </c>
      <c r="B92" s="17" t="s">
        <v>52</v>
      </c>
      <c r="C92" s="18" t="s">
        <v>100</v>
      </c>
      <c r="D92" s="9">
        <v>46201</v>
      </c>
      <c r="E92" s="17" t="s">
        <v>113</v>
      </c>
      <c r="F92" s="12">
        <v>0.58175925925925931</v>
      </c>
      <c r="G92" s="12">
        <v>0.81347222222222226</v>
      </c>
      <c r="H92" s="13">
        <v>5.5611111111111109</v>
      </c>
      <c r="I92" s="14">
        <v>0</v>
      </c>
      <c r="J92" s="15">
        <v>5.5611111111111109</v>
      </c>
      <c r="K92" s="17" t="s">
        <v>114</v>
      </c>
      <c r="M92"/>
      <c r="N92"/>
      <c r="O92"/>
      <c r="P92" s="1"/>
      <c r="U92" s="1"/>
    </row>
    <row r="93" spans="1:21" x14ac:dyDescent="0.3">
      <c r="A93" s="11">
        <v>10000593</v>
      </c>
      <c r="B93" s="17" t="s">
        <v>52</v>
      </c>
      <c r="C93" s="18" t="s">
        <v>100</v>
      </c>
      <c r="D93" s="9">
        <v>46202</v>
      </c>
      <c r="E93" s="17" t="s">
        <v>118</v>
      </c>
      <c r="F93" s="12">
        <v>0.35259259259259257</v>
      </c>
      <c r="G93" s="12">
        <v>0.81453703703703706</v>
      </c>
      <c r="H93" s="13">
        <v>11.086666666666668</v>
      </c>
      <c r="I93" s="14">
        <v>9</v>
      </c>
      <c r="J93" s="15">
        <v>2.0866666666666678</v>
      </c>
      <c r="K93" s="17" t="s">
        <v>115</v>
      </c>
      <c r="M93"/>
      <c r="N93"/>
      <c r="O93"/>
      <c r="P93" s="1"/>
      <c r="U93" s="1"/>
    </row>
    <row r="94" spans="1:21" x14ac:dyDescent="0.3">
      <c r="A94" s="11">
        <v>10000607</v>
      </c>
      <c r="B94" s="17" t="s">
        <v>74</v>
      </c>
      <c r="C94" s="18" t="s">
        <v>100</v>
      </c>
      <c r="D94" s="9">
        <v>46194</v>
      </c>
      <c r="E94" s="17" t="s">
        <v>113</v>
      </c>
      <c r="F94" s="12"/>
      <c r="G94" s="12"/>
      <c r="H94" s="13">
        <v>0</v>
      </c>
      <c r="I94" s="14">
        <v>0</v>
      </c>
      <c r="J94" s="15">
        <v>0</v>
      </c>
      <c r="K94" s="17" t="s">
        <v>116</v>
      </c>
      <c r="M94"/>
      <c r="N94"/>
      <c r="O94"/>
      <c r="P94" s="1"/>
      <c r="U94" s="1"/>
    </row>
    <row r="95" spans="1:21" x14ac:dyDescent="0.3">
      <c r="A95" s="11">
        <v>10000607</v>
      </c>
      <c r="B95" s="17" t="s">
        <v>74</v>
      </c>
      <c r="C95" s="18" t="s">
        <v>100</v>
      </c>
      <c r="D95" s="9">
        <v>46195</v>
      </c>
      <c r="E95" s="17" t="s">
        <v>118</v>
      </c>
      <c r="F95" s="12">
        <v>0.34971064814814817</v>
      </c>
      <c r="G95" s="12">
        <v>0.75384259259259256</v>
      </c>
      <c r="H95" s="13">
        <v>9.6991666666666649</v>
      </c>
      <c r="I95" s="14">
        <v>9</v>
      </c>
      <c r="J95" s="15">
        <v>0.69916666666666494</v>
      </c>
      <c r="K95" s="17" t="s">
        <v>115</v>
      </c>
      <c r="M95"/>
      <c r="N95"/>
      <c r="O95"/>
      <c r="P95" s="1"/>
      <c r="U95" s="1"/>
    </row>
    <row r="96" spans="1:21" x14ac:dyDescent="0.3">
      <c r="A96" s="11">
        <v>10000607</v>
      </c>
      <c r="B96" s="17" t="s">
        <v>74</v>
      </c>
      <c r="C96" s="18" t="s">
        <v>100</v>
      </c>
      <c r="D96" s="9">
        <v>46196</v>
      </c>
      <c r="E96" s="17" t="s">
        <v>119</v>
      </c>
      <c r="F96" s="12">
        <v>0.33458333333333334</v>
      </c>
      <c r="G96" s="12">
        <v>0.79736111111111108</v>
      </c>
      <c r="H96" s="13">
        <v>11.106666666666666</v>
      </c>
      <c r="I96" s="14">
        <v>9</v>
      </c>
      <c r="J96" s="15">
        <v>2.1066666666666656</v>
      </c>
      <c r="K96" s="17" t="s">
        <v>115</v>
      </c>
      <c r="M96"/>
      <c r="N96"/>
      <c r="O96"/>
      <c r="P96" s="1"/>
      <c r="U96" s="1"/>
    </row>
    <row r="97" spans="1:21" x14ac:dyDescent="0.3">
      <c r="A97" s="11">
        <v>10000607</v>
      </c>
      <c r="B97" s="17" t="s">
        <v>74</v>
      </c>
      <c r="C97" s="18" t="s">
        <v>100</v>
      </c>
      <c r="D97" s="9">
        <v>46197</v>
      </c>
      <c r="E97" s="17" t="s">
        <v>123</v>
      </c>
      <c r="F97" s="12">
        <v>0.33500000000000002</v>
      </c>
      <c r="G97" s="12">
        <v>0.7584143518518518</v>
      </c>
      <c r="H97" s="13">
        <v>10.161944444444442</v>
      </c>
      <c r="I97" s="14">
        <v>9</v>
      </c>
      <c r="J97" s="15">
        <v>1.1619444444444422</v>
      </c>
      <c r="K97" s="17" t="s">
        <v>115</v>
      </c>
      <c r="M97"/>
      <c r="N97"/>
      <c r="O97"/>
      <c r="P97" s="1"/>
      <c r="U97" s="1"/>
    </row>
    <row r="98" spans="1:21" x14ac:dyDescent="0.3">
      <c r="A98" s="11">
        <v>10000607</v>
      </c>
      <c r="B98" s="17" t="s">
        <v>74</v>
      </c>
      <c r="C98" s="18" t="s">
        <v>100</v>
      </c>
      <c r="D98" s="9">
        <v>46198</v>
      </c>
      <c r="E98" s="17" t="s">
        <v>124</v>
      </c>
      <c r="F98" s="12">
        <v>0.33474537037037039</v>
      </c>
      <c r="G98" s="12">
        <v>0.74633101851851846</v>
      </c>
      <c r="H98" s="13">
        <v>9.8780555555555534</v>
      </c>
      <c r="I98" s="14">
        <v>9</v>
      </c>
      <c r="J98" s="15">
        <v>0.87805555555555337</v>
      </c>
      <c r="K98" s="17" t="s">
        <v>115</v>
      </c>
      <c r="M98"/>
      <c r="N98"/>
      <c r="O98"/>
      <c r="P98" s="1"/>
      <c r="U98" s="1"/>
    </row>
    <row r="99" spans="1:21" x14ac:dyDescent="0.3">
      <c r="A99" s="11">
        <v>10000607</v>
      </c>
      <c r="B99" s="17" t="s">
        <v>74</v>
      </c>
      <c r="C99" s="18" t="s">
        <v>100</v>
      </c>
      <c r="D99" s="9">
        <v>46199</v>
      </c>
      <c r="E99" s="17" t="s">
        <v>125</v>
      </c>
      <c r="F99" s="12">
        <v>0.33701388888888889</v>
      </c>
      <c r="G99" s="12">
        <v>0.54038194444444443</v>
      </c>
      <c r="H99" s="13">
        <v>4.8808333333333334</v>
      </c>
      <c r="I99" s="14">
        <v>4</v>
      </c>
      <c r="J99" s="15">
        <v>0.88083333333333336</v>
      </c>
      <c r="K99" s="17" t="s">
        <v>115</v>
      </c>
      <c r="M99"/>
      <c r="N99"/>
      <c r="O99"/>
      <c r="P99" s="1"/>
      <c r="U99" s="1"/>
    </row>
    <row r="100" spans="1:21" x14ac:dyDescent="0.3">
      <c r="A100" s="11">
        <v>10000607</v>
      </c>
      <c r="B100" s="17" t="s">
        <v>74</v>
      </c>
      <c r="C100" s="18" t="s">
        <v>100</v>
      </c>
      <c r="D100" s="9">
        <v>46200</v>
      </c>
      <c r="E100" s="17" t="s">
        <v>126</v>
      </c>
      <c r="F100" s="12"/>
      <c r="G100" s="12"/>
      <c r="H100" s="13">
        <v>0</v>
      </c>
      <c r="I100" s="14">
        <v>0</v>
      </c>
      <c r="J100" s="15">
        <v>0</v>
      </c>
      <c r="K100" s="17" t="s">
        <v>116</v>
      </c>
      <c r="M100"/>
      <c r="N100"/>
      <c r="O100"/>
      <c r="P100" s="1"/>
      <c r="U100" s="1"/>
    </row>
    <row r="101" spans="1:21" x14ac:dyDescent="0.3">
      <c r="A101" s="11">
        <v>10000607</v>
      </c>
      <c r="B101" s="17" t="s">
        <v>74</v>
      </c>
      <c r="C101" s="18" t="s">
        <v>100</v>
      </c>
      <c r="D101" s="9">
        <v>46201</v>
      </c>
      <c r="E101" s="17" t="s">
        <v>113</v>
      </c>
      <c r="F101" s="12"/>
      <c r="G101" s="12"/>
      <c r="H101" s="13">
        <v>0</v>
      </c>
      <c r="I101" s="14">
        <v>0</v>
      </c>
      <c r="J101" s="15">
        <v>0</v>
      </c>
      <c r="K101" s="17" t="s">
        <v>116</v>
      </c>
      <c r="M101"/>
      <c r="N101"/>
      <c r="O101"/>
      <c r="P101" s="1"/>
      <c r="U101" s="1"/>
    </row>
    <row r="102" spans="1:21" x14ac:dyDescent="0.3">
      <c r="A102" s="11">
        <v>10000607</v>
      </c>
      <c r="B102" s="17" t="s">
        <v>74</v>
      </c>
      <c r="C102" s="18" t="s">
        <v>100</v>
      </c>
      <c r="D102" s="9">
        <v>46202</v>
      </c>
      <c r="E102" s="17" t="s">
        <v>118</v>
      </c>
      <c r="F102" s="12">
        <v>0.34968749999999998</v>
      </c>
      <c r="G102" s="12">
        <v>0.74829861111111107</v>
      </c>
      <c r="H102" s="13">
        <v>9.5666666666666664</v>
      </c>
      <c r="I102" s="14">
        <v>9</v>
      </c>
      <c r="J102" s="15">
        <v>0.56666666666666643</v>
      </c>
      <c r="K102" s="17" t="s">
        <v>115</v>
      </c>
      <c r="M102"/>
      <c r="N102"/>
      <c r="O102"/>
      <c r="P102" s="1"/>
      <c r="U102" s="1"/>
    </row>
    <row r="103" spans="1:21" x14ac:dyDescent="0.3">
      <c r="A103" s="11">
        <v>10000731</v>
      </c>
      <c r="B103" s="17" t="s">
        <v>57</v>
      </c>
      <c r="C103" s="18" t="s">
        <v>24</v>
      </c>
      <c r="D103" s="9">
        <v>46194</v>
      </c>
      <c r="E103" s="17" t="s">
        <v>113</v>
      </c>
      <c r="F103" s="12"/>
      <c r="G103" s="12"/>
      <c r="H103" s="13">
        <v>0</v>
      </c>
      <c r="I103" s="14">
        <v>0</v>
      </c>
      <c r="J103" s="15">
        <v>0</v>
      </c>
      <c r="K103" s="17" t="s">
        <v>116</v>
      </c>
      <c r="M103"/>
      <c r="N103"/>
      <c r="O103"/>
      <c r="P103" s="1"/>
      <c r="U103" s="1"/>
    </row>
    <row r="104" spans="1:21" x14ac:dyDescent="0.3">
      <c r="A104" s="11">
        <v>10000731</v>
      </c>
      <c r="B104" s="17" t="s">
        <v>57</v>
      </c>
      <c r="C104" s="18" t="s">
        <v>24</v>
      </c>
      <c r="D104" s="9">
        <v>46195</v>
      </c>
      <c r="E104" s="17" t="s">
        <v>118</v>
      </c>
      <c r="F104" s="12">
        <v>0.32979166666666665</v>
      </c>
      <c r="G104" s="12">
        <v>0.72012731481481485</v>
      </c>
      <c r="H104" s="13">
        <v>9.3680555555555571</v>
      </c>
      <c r="I104" s="14">
        <v>9</v>
      </c>
      <c r="J104" s="15">
        <v>0.36805555555555713</v>
      </c>
      <c r="K104" s="17" t="s">
        <v>115</v>
      </c>
      <c r="M104"/>
      <c r="N104"/>
      <c r="O104"/>
      <c r="P104" s="1"/>
      <c r="U104" s="1"/>
    </row>
    <row r="105" spans="1:21" x14ac:dyDescent="0.3">
      <c r="A105" s="11">
        <v>10000731</v>
      </c>
      <c r="B105" s="17" t="s">
        <v>57</v>
      </c>
      <c r="C105" s="18" t="s">
        <v>24</v>
      </c>
      <c r="D105" s="9">
        <v>46196</v>
      </c>
      <c r="E105" s="17" t="s">
        <v>119</v>
      </c>
      <c r="F105" s="12">
        <v>0.32212962962962965</v>
      </c>
      <c r="G105" s="12">
        <v>0.74612268518518521</v>
      </c>
      <c r="H105" s="13">
        <v>10.175833333333333</v>
      </c>
      <c r="I105" s="14">
        <v>9</v>
      </c>
      <c r="J105" s="15">
        <v>1.1758333333333333</v>
      </c>
      <c r="K105" s="17" t="s">
        <v>115</v>
      </c>
      <c r="M105"/>
      <c r="N105"/>
      <c r="O105"/>
      <c r="P105" s="1"/>
      <c r="U105" s="1"/>
    </row>
    <row r="106" spans="1:21" x14ac:dyDescent="0.3">
      <c r="A106" s="11">
        <v>10000731</v>
      </c>
      <c r="B106" s="17" t="s">
        <v>57</v>
      </c>
      <c r="C106" s="18" t="s">
        <v>24</v>
      </c>
      <c r="D106" s="9">
        <v>46197</v>
      </c>
      <c r="E106" s="17" t="s">
        <v>123</v>
      </c>
      <c r="F106" s="12">
        <v>0.32346064814814812</v>
      </c>
      <c r="G106" s="12">
        <v>0.76355324074074071</v>
      </c>
      <c r="H106" s="13">
        <v>10.562222222222221</v>
      </c>
      <c r="I106" s="14">
        <v>9</v>
      </c>
      <c r="J106" s="15">
        <v>1.5622222222222213</v>
      </c>
      <c r="K106" s="17" t="s">
        <v>115</v>
      </c>
      <c r="M106"/>
      <c r="N106"/>
      <c r="O106"/>
      <c r="P106" s="1"/>
      <c r="U106" s="1"/>
    </row>
    <row r="107" spans="1:21" x14ac:dyDescent="0.3">
      <c r="A107" s="11">
        <v>10000731</v>
      </c>
      <c r="B107" s="17" t="s">
        <v>57</v>
      </c>
      <c r="C107" s="18" t="s">
        <v>24</v>
      </c>
      <c r="D107" s="9">
        <v>46198</v>
      </c>
      <c r="E107" s="17" t="s">
        <v>124</v>
      </c>
      <c r="F107" s="12">
        <v>0.32594907407407409</v>
      </c>
      <c r="G107" s="12">
        <v>0.76483796296296291</v>
      </c>
      <c r="H107" s="13">
        <v>10.533333333333331</v>
      </c>
      <c r="I107" s="14">
        <v>9</v>
      </c>
      <c r="J107" s="15">
        <v>1.5333333333333314</v>
      </c>
      <c r="K107" s="17" t="s">
        <v>115</v>
      </c>
      <c r="M107"/>
      <c r="N107"/>
      <c r="O107"/>
      <c r="P107" s="1"/>
      <c r="U107" s="1"/>
    </row>
    <row r="108" spans="1:21" x14ac:dyDescent="0.3">
      <c r="A108" s="11">
        <v>10000731</v>
      </c>
      <c r="B108" s="17" t="s">
        <v>57</v>
      </c>
      <c r="C108" s="18" t="s">
        <v>24</v>
      </c>
      <c r="D108" s="9">
        <v>46199</v>
      </c>
      <c r="E108" s="17" t="s">
        <v>125</v>
      </c>
      <c r="F108" s="12">
        <v>0.33082175925925927</v>
      </c>
      <c r="G108" s="12">
        <v>0.50817129629629632</v>
      </c>
      <c r="H108" s="13">
        <v>4.256388888888889</v>
      </c>
      <c r="I108" s="14">
        <v>4</v>
      </c>
      <c r="J108" s="15">
        <v>0.256388888888889</v>
      </c>
      <c r="K108" s="17" t="s">
        <v>115</v>
      </c>
      <c r="M108"/>
      <c r="N108"/>
      <c r="O108"/>
      <c r="P108" s="1"/>
      <c r="U108" s="1"/>
    </row>
    <row r="109" spans="1:21" x14ac:dyDescent="0.3">
      <c r="A109" s="11">
        <v>10000731</v>
      </c>
      <c r="B109" s="17" t="s">
        <v>57</v>
      </c>
      <c r="C109" s="18" t="s">
        <v>24</v>
      </c>
      <c r="D109" s="9">
        <v>46200</v>
      </c>
      <c r="E109" s="17" t="s">
        <v>126</v>
      </c>
      <c r="F109" s="12"/>
      <c r="G109" s="12"/>
      <c r="H109" s="13">
        <v>0</v>
      </c>
      <c r="I109" s="14">
        <v>0</v>
      </c>
      <c r="J109" s="15">
        <v>0</v>
      </c>
      <c r="K109" s="17" t="s">
        <v>116</v>
      </c>
      <c r="M109"/>
      <c r="N109"/>
      <c r="P109" s="1"/>
      <c r="U109" s="1"/>
    </row>
    <row r="110" spans="1:21" x14ac:dyDescent="0.3">
      <c r="A110" s="11">
        <v>10000731</v>
      </c>
      <c r="B110" s="17" t="s">
        <v>57</v>
      </c>
      <c r="C110" s="18" t="s">
        <v>24</v>
      </c>
      <c r="D110" s="9">
        <v>46201</v>
      </c>
      <c r="E110" s="17" t="s">
        <v>113</v>
      </c>
      <c r="F110" s="12"/>
      <c r="G110" s="12"/>
      <c r="H110" s="13">
        <v>0</v>
      </c>
      <c r="I110" s="14">
        <v>0</v>
      </c>
      <c r="J110" s="15">
        <v>0</v>
      </c>
      <c r="K110" s="17" t="s">
        <v>116</v>
      </c>
      <c r="M110"/>
      <c r="N110"/>
      <c r="P110" s="1"/>
      <c r="U110" s="1"/>
    </row>
    <row r="111" spans="1:21" x14ac:dyDescent="0.3">
      <c r="A111" s="11">
        <v>10000731</v>
      </c>
      <c r="B111" s="17" t="s">
        <v>57</v>
      </c>
      <c r="C111" s="18" t="s">
        <v>24</v>
      </c>
      <c r="D111" s="9">
        <v>46202</v>
      </c>
      <c r="E111" s="17" t="s">
        <v>118</v>
      </c>
      <c r="F111" s="12">
        <v>0.32854166666666668</v>
      </c>
      <c r="G111" s="12">
        <v>0.74216435185185181</v>
      </c>
      <c r="H111" s="13">
        <v>9.9269444444444428</v>
      </c>
      <c r="I111" s="14">
        <v>9</v>
      </c>
      <c r="J111" s="15">
        <v>0.92694444444444279</v>
      </c>
      <c r="K111" s="17" t="s">
        <v>115</v>
      </c>
      <c r="M111"/>
      <c r="N111"/>
      <c r="P111" s="1"/>
      <c r="U111" s="1"/>
    </row>
    <row r="112" spans="1:21" x14ac:dyDescent="0.3">
      <c r="A112" s="11">
        <v>10000732</v>
      </c>
      <c r="B112" s="17" t="s">
        <v>56</v>
      </c>
      <c r="C112" s="18" t="s">
        <v>24</v>
      </c>
      <c r="D112" s="9">
        <v>46194</v>
      </c>
      <c r="E112" s="17" t="s">
        <v>113</v>
      </c>
      <c r="F112" s="12">
        <v>0.33350694444444445</v>
      </c>
      <c r="G112" s="12">
        <v>0.33350694444444445</v>
      </c>
      <c r="H112" s="13">
        <v>0</v>
      </c>
      <c r="I112" s="14">
        <v>0</v>
      </c>
      <c r="J112" s="15">
        <v>0</v>
      </c>
      <c r="K112" s="17" t="s">
        <v>114</v>
      </c>
      <c r="M112"/>
      <c r="N112"/>
      <c r="P112" s="1"/>
      <c r="U112" s="1"/>
    </row>
    <row r="113" spans="1:21" x14ac:dyDescent="0.3">
      <c r="A113" s="11">
        <v>10000732</v>
      </c>
      <c r="B113" s="17" t="s">
        <v>56</v>
      </c>
      <c r="C113" s="18" t="s">
        <v>24</v>
      </c>
      <c r="D113" s="9">
        <v>46195</v>
      </c>
      <c r="E113" s="17" t="s">
        <v>118</v>
      </c>
      <c r="F113" s="12">
        <v>0.32923611111111112</v>
      </c>
      <c r="G113" s="12">
        <v>0.72061342592592592</v>
      </c>
      <c r="H113" s="13">
        <v>9.3930555555555557</v>
      </c>
      <c r="I113" s="14">
        <v>9</v>
      </c>
      <c r="J113" s="15">
        <v>0.39305555555555571</v>
      </c>
      <c r="K113" s="17" t="s">
        <v>115</v>
      </c>
      <c r="M113"/>
      <c r="N113"/>
      <c r="P113" s="1"/>
      <c r="U113" s="1"/>
    </row>
    <row r="114" spans="1:21" x14ac:dyDescent="0.3">
      <c r="A114" s="11">
        <v>10000732</v>
      </c>
      <c r="B114" s="17" t="s">
        <v>56</v>
      </c>
      <c r="C114" s="18" t="s">
        <v>24</v>
      </c>
      <c r="D114" s="9">
        <v>46196</v>
      </c>
      <c r="E114" s="17" t="s">
        <v>119</v>
      </c>
      <c r="F114" s="12">
        <v>0.33520833333333333</v>
      </c>
      <c r="G114" s="12">
        <v>0.72381944444444446</v>
      </c>
      <c r="H114" s="13">
        <v>9.326666666666668</v>
      </c>
      <c r="I114" s="14">
        <v>9</v>
      </c>
      <c r="J114" s="15">
        <v>0.32666666666666799</v>
      </c>
      <c r="K114" s="17" t="s">
        <v>115</v>
      </c>
      <c r="M114"/>
      <c r="N114"/>
      <c r="P114" s="1"/>
      <c r="U114" s="1"/>
    </row>
    <row r="115" spans="1:21" x14ac:dyDescent="0.3">
      <c r="A115" s="11">
        <v>10000732</v>
      </c>
      <c r="B115" s="17" t="s">
        <v>56</v>
      </c>
      <c r="C115" s="18" t="s">
        <v>24</v>
      </c>
      <c r="D115" s="9">
        <v>46197</v>
      </c>
      <c r="E115" s="17" t="s">
        <v>123</v>
      </c>
      <c r="F115" s="12">
        <v>0.33334490740740741</v>
      </c>
      <c r="G115" s="12">
        <v>0.72752314814814811</v>
      </c>
      <c r="H115" s="13">
        <v>9.460277777777776</v>
      </c>
      <c r="I115" s="14">
        <v>9</v>
      </c>
      <c r="J115" s="15">
        <v>0.46027777777777601</v>
      </c>
      <c r="K115" s="17" t="s">
        <v>115</v>
      </c>
      <c r="M115"/>
      <c r="N115"/>
      <c r="P115" s="1"/>
      <c r="U115" s="1"/>
    </row>
    <row r="116" spans="1:21" x14ac:dyDescent="0.3">
      <c r="A116" s="11">
        <v>10000732</v>
      </c>
      <c r="B116" s="17" t="s">
        <v>56</v>
      </c>
      <c r="C116" s="18" t="s">
        <v>24</v>
      </c>
      <c r="D116" s="9">
        <v>46198</v>
      </c>
      <c r="E116" s="17" t="s">
        <v>124</v>
      </c>
      <c r="F116" s="12">
        <v>0.33776620370370369</v>
      </c>
      <c r="G116" s="12">
        <v>0.71988425925925925</v>
      </c>
      <c r="H116" s="13">
        <v>9.1708333333333343</v>
      </c>
      <c r="I116" s="14">
        <v>9</v>
      </c>
      <c r="J116" s="15">
        <v>0.17083333333333428</v>
      </c>
      <c r="K116" s="17" t="s">
        <v>115</v>
      </c>
      <c r="M116"/>
      <c r="N116"/>
      <c r="P116" s="1"/>
      <c r="U116" s="1"/>
    </row>
    <row r="117" spans="1:21" x14ac:dyDescent="0.3">
      <c r="A117" s="11">
        <v>10000732</v>
      </c>
      <c r="B117" s="17" t="s">
        <v>56</v>
      </c>
      <c r="C117" s="18" t="s">
        <v>24</v>
      </c>
      <c r="D117" s="9">
        <v>46199</v>
      </c>
      <c r="E117" s="17" t="s">
        <v>125</v>
      </c>
      <c r="F117" s="12">
        <v>0.3356365740740741</v>
      </c>
      <c r="G117" s="12">
        <v>0.51133101851851848</v>
      </c>
      <c r="H117" s="13">
        <v>4.216666666666665</v>
      </c>
      <c r="I117" s="14">
        <v>4</v>
      </c>
      <c r="J117" s="15">
        <v>0.21666666666666501</v>
      </c>
      <c r="K117" s="17" t="s">
        <v>115</v>
      </c>
      <c r="M117"/>
      <c r="N117"/>
      <c r="P117" s="1"/>
      <c r="U117" s="1"/>
    </row>
    <row r="118" spans="1:21" x14ac:dyDescent="0.3">
      <c r="A118" s="11">
        <v>10000732</v>
      </c>
      <c r="B118" s="17" t="s">
        <v>56</v>
      </c>
      <c r="C118" s="18" t="s">
        <v>24</v>
      </c>
      <c r="D118" s="9">
        <v>46200</v>
      </c>
      <c r="E118" s="17" t="s">
        <v>126</v>
      </c>
      <c r="F118" s="12"/>
      <c r="G118" s="12"/>
      <c r="H118" s="13">
        <v>0</v>
      </c>
      <c r="I118" s="14">
        <v>0</v>
      </c>
      <c r="J118" s="15">
        <v>0</v>
      </c>
      <c r="K118" s="17" t="s">
        <v>116</v>
      </c>
      <c r="M118"/>
      <c r="N118"/>
      <c r="P118" s="1"/>
      <c r="U118" s="1"/>
    </row>
    <row r="119" spans="1:21" x14ac:dyDescent="0.3">
      <c r="A119" s="11">
        <v>10000732</v>
      </c>
      <c r="B119" s="17" t="s">
        <v>56</v>
      </c>
      <c r="C119" s="18" t="s">
        <v>24</v>
      </c>
      <c r="D119" s="9">
        <v>46201</v>
      </c>
      <c r="E119" s="17" t="s">
        <v>113</v>
      </c>
      <c r="F119" s="12"/>
      <c r="G119" s="12"/>
      <c r="H119" s="13">
        <v>0</v>
      </c>
      <c r="I119" s="14">
        <v>0</v>
      </c>
      <c r="J119" s="15">
        <v>0</v>
      </c>
      <c r="K119" s="17" t="s">
        <v>116</v>
      </c>
      <c r="M119"/>
      <c r="N119"/>
      <c r="P119" s="1"/>
      <c r="U119" s="1"/>
    </row>
    <row r="120" spans="1:21" x14ac:dyDescent="0.3">
      <c r="A120" s="11">
        <v>10000732</v>
      </c>
      <c r="B120" s="17" t="s">
        <v>56</v>
      </c>
      <c r="C120" s="18" t="s">
        <v>24</v>
      </c>
      <c r="D120" s="9">
        <v>46202</v>
      </c>
      <c r="E120" s="17" t="s">
        <v>118</v>
      </c>
      <c r="F120" s="12">
        <v>0.33812500000000001</v>
      </c>
      <c r="G120" s="12">
        <v>0.72400462962962964</v>
      </c>
      <c r="H120" s="13">
        <v>9.2611111111111111</v>
      </c>
      <c r="I120" s="14">
        <v>9</v>
      </c>
      <c r="J120" s="15">
        <v>0.26111111111111107</v>
      </c>
      <c r="K120" s="17" t="s">
        <v>115</v>
      </c>
      <c r="M120"/>
      <c r="N120"/>
      <c r="P120" s="1"/>
      <c r="U120" s="1"/>
    </row>
    <row r="121" spans="1:21" x14ac:dyDescent="0.3">
      <c r="A121" s="11">
        <v>10000771</v>
      </c>
      <c r="B121" s="17" t="s">
        <v>75</v>
      </c>
      <c r="C121" s="18" t="s">
        <v>11</v>
      </c>
      <c r="D121" s="9">
        <v>46194</v>
      </c>
      <c r="E121" s="17" t="s">
        <v>113</v>
      </c>
      <c r="F121" s="12"/>
      <c r="G121" s="12"/>
      <c r="H121" s="13">
        <v>0</v>
      </c>
      <c r="I121" s="14">
        <v>0</v>
      </c>
      <c r="J121" s="15">
        <v>0</v>
      </c>
      <c r="K121" s="17" t="s">
        <v>116</v>
      </c>
      <c r="M121"/>
      <c r="N121"/>
      <c r="P121" s="1"/>
      <c r="U121" s="1"/>
    </row>
    <row r="122" spans="1:21" x14ac:dyDescent="0.3">
      <c r="A122" s="11">
        <v>10000771</v>
      </c>
      <c r="B122" s="17" t="s">
        <v>75</v>
      </c>
      <c r="C122" s="18" t="s">
        <v>11</v>
      </c>
      <c r="D122" s="9">
        <v>46195</v>
      </c>
      <c r="E122" s="17" t="s">
        <v>118</v>
      </c>
      <c r="F122" s="12">
        <v>0.31369212962962961</v>
      </c>
      <c r="G122" s="12">
        <v>0.70966435185185184</v>
      </c>
      <c r="H122" s="13">
        <v>9.5033333333333339</v>
      </c>
      <c r="I122" s="14">
        <v>9</v>
      </c>
      <c r="J122" s="15">
        <v>0.50333333333333385</v>
      </c>
      <c r="K122" s="17" t="s">
        <v>115</v>
      </c>
      <c r="M122"/>
      <c r="N122"/>
      <c r="P122" s="1"/>
      <c r="U122" s="1"/>
    </row>
    <row r="123" spans="1:21" x14ac:dyDescent="0.3">
      <c r="A123" s="11">
        <v>10000771</v>
      </c>
      <c r="B123" s="17" t="s">
        <v>75</v>
      </c>
      <c r="C123" s="18" t="s">
        <v>11</v>
      </c>
      <c r="D123" s="9">
        <v>46196</v>
      </c>
      <c r="E123" s="17" t="s">
        <v>119</v>
      </c>
      <c r="F123" s="12">
        <v>0.31373842592592593</v>
      </c>
      <c r="G123" s="12">
        <v>0.71074074074074078</v>
      </c>
      <c r="H123" s="13">
        <v>9.5280555555555573</v>
      </c>
      <c r="I123" s="14">
        <v>9</v>
      </c>
      <c r="J123" s="15">
        <v>0.52805555555555728</v>
      </c>
      <c r="K123" s="17" t="s">
        <v>115</v>
      </c>
      <c r="M123"/>
      <c r="N123"/>
      <c r="P123" s="1"/>
      <c r="U123" s="1"/>
    </row>
    <row r="124" spans="1:21" x14ac:dyDescent="0.3">
      <c r="A124" s="11">
        <v>10000771</v>
      </c>
      <c r="B124" s="17" t="s">
        <v>75</v>
      </c>
      <c r="C124" s="18" t="s">
        <v>11</v>
      </c>
      <c r="D124" s="9">
        <v>46197</v>
      </c>
      <c r="E124" s="17" t="s">
        <v>123</v>
      </c>
      <c r="F124" s="12">
        <v>0.31730324074074073</v>
      </c>
      <c r="G124" s="12">
        <v>0.71144675925925926</v>
      </c>
      <c r="H124" s="13">
        <v>9.4594444444444452</v>
      </c>
      <c r="I124" s="14">
        <v>9</v>
      </c>
      <c r="J124" s="15">
        <v>0.45944444444444521</v>
      </c>
      <c r="K124" s="17" t="s">
        <v>115</v>
      </c>
      <c r="M124"/>
      <c r="N124"/>
      <c r="P124" s="1"/>
      <c r="U124" s="1"/>
    </row>
    <row r="125" spans="1:21" x14ac:dyDescent="0.3">
      <c r="A125" s="11">
        <v>10000771</v>
      </c>
      <c r="B125" s="17" t="s">
        <v>75</v>
      </c>
      <c r="C125" s="18" t="s">
        <v>11</v>
      </c>
      <c r="D125" s="9">
        <v>46198</v>
      </c>
      <c r="E125" s="17" t="s">
        <v>124</v>
      </c>
      <c r="F125" s="12">
        <v>0.31744212962962964</v>
      </c>
      <c r="G125" s="12">
        <v>0.7112384259259259</v>
      </c>
      <c r="H125" s="13">
        <v>9.4511111111111106</v>
      </c>
      <c r="I125" s="14">
        <v>9</v>
      </c>
      <c r="J125" s="15">
        <v>0.45111111111111057</v>
      </c>
      <c r="K125" s="17" t="s">
        <v>115</v>
      </c>
      <c r="M125"/>
      <c r="N125"/>
      <c r="P125" s="1"/>
      <c r="U125" s="1"/>
    </row>
    <row r="126" spans="1:21" x14ac:dyDescent="0.3">
      <c r="A126" s="11">
        <v>10000771</v>
      </c>
      <c r="B126" s="17" t="s">
        <v>75</v>
      </c>
      <c r="C126" s="18" t="s">
        <v>11</v>
      </c>
      <c r="D126" s="9">
        <v>46199</v>
      </c>
      <c r="E126" s="17" t="s">
        <v>125</v>
      </c>
      <c r="F126" s="12">
        <v>0.31790509259259259</v>
      </c>
      <c r="G126" s="12">
        <v>0.50137731481481485</v>
      </c>
      <c r="H126" s="13">
        <v>4.4033333333333342</v>
      </c>
      <c r="I126" s="14">
        <v>4</v>
      </c>
      <c r="J126" s="15">
        <v>0.40333333333333421</v>
      </c>
      <c r="K126" s="17" t="s">
        <v>115</v>
      </c>
      <c r="M126"/>
      <c r="N126"/>
      <c r="P126" s="1"/>
      <c r="U126" s="1"/>
    </row>
    <row r="127" spans="1:21" x14ac:dyDescent="0.3">
      <c r="A127" s="11">
        <v>10000771</v>
      </c>
      <c r="B127" s="17" t="s">
        <v>75</v>
      </c>
      <c r="C127" s="18" t="s">
        <v>11</v>
      </c>
      <c r="D127" s="9">
        <v>46200</v>
      </c>
      <c r="E127" s="17" t="s">
        <v>126</v>
      </c>
      <c r="F127" s="12"/>
      <c r="G127" s="12"/>
      <c r="H127" s="13">
        <v>0</v>
      </c>
      <c r="I127" s="14">
        <v>0</v>
      </c>
      <c r="J127" s="15">
        <v>0</v>
      </c>
      <c r="K127" s="17" t="s">
        <v>116</v>
      </c>
      <c r="M127"/>
      <c r="N127"/>
      <c r="P127" s="1"/>
      <c r="U127" s="1"/>
    </row>
    <row r="128" spans="1:21" x14ac:dyDescent="0.3">
      <c r="A128" s="11">
        <v>10000771</v>
      </c>
      <c r="B128" s="17" t="s">
        <v>75</v>
      </c>
      <c r="C128" s="18" t="s">
        <v>11</v>
      </c>
      <c r="D128" s="9">
        <v>46201</v>
      </c>
      <c r="E128" s="17" t="s">
        <v>113</v>
      </c>
      <c r="F128" s="12"/>
      <c r="G128" s="12"/>
      <c r="H128" s="13">
        <v>0</v>
      </c>
      <c r="I128" s="14">
        <v>0</v>
      </c>
      <c r="J128" s="15">
        <v>0</v>
      </c>
      <c r="K128" s="17" t="s">
        <v>116</v>
      </c>
      <c r="M128"/>
      <c r="N128"/>
      <c r="P128" s="1"/>
      <c r="U128" s="1"/>
    </row>
    <row r="129" spans="1:21" x14ac:dyDescent="0.3">
      <c r="A129" s="11">
        <v>10000771</v>
      </c>
      <c r="B129" s="17" t="s">
        <v>75</v>
      </c>
      <c r="C129" s="18" t="s">
        <v>11</v>
      </c>
      <c r="D129" s="9">
        <v>46202</v>
      </c>
      <c r="E129" s="17" t="s">
        <v>118</v>
      </c>
      <c r="F129" s="12">
        <v>0.32333333333333331</v>
      </c>
      <c r="G129" s="12">
        <v>0.7096527777777778</v>
      </c>
      <c r="H129" s="13">
        <v>9.2716666666666683</v>
      </c>
      <c r="I129" s="14">
        <v>9</v>
      </c>
      <c r="J129" s="15">
        <v>0.27166666666666828</v>
      </c>
      <c r="K129" s="17" t="s">
        <v>115</v>
      </c>
      <c r="M129"/>
      <c r="N129"/>
      <c r="P129" s="1"/>
      <c r="U129" s="1"/>
    </row>
    <row r="130" spans="1:21" x14ac:dyDescent="0.3">
      <c r="A130" s="11">
        <v>10000998</v>
      </c>
      <c r="B130" s="17" t="s">
        <v>59</v>
      </c>
      <c r="C130" s="18" t="s">
        <v>13</v>
      </c>
      <c r="D130" s="9">
        <v>46194</v>
      </c>
      <c r="E130" s="17" t="s">
        <v>113</v>
      </c>
      <c r="F130" s="12"/>
      <c r="G130" s="12"/>
      <c r="H130" s="13">
        <v>0</v>
      </c>
      <c r="I130" s="14">
        <v>8.5</v>
      </c>
      <c r="J130" s="15">
        <v>-8.5</v>
      </c>
      <c r="K130" s="17" t="s">
        <v>68</v>
      </c>
      <c r="M130"/>
      <c r="N130"/>
      <c r="P130" s="1"/>
      <c r="U130" s="1"/>
    </row>
    <row r="131" spans="1:21" x14ac:dyDescent="0.3">
      <c r="A131" s="11">
        <v>10000998</v>
      </c>
      <c r="B131" s="17" t="s">
        <v>59</v>
      </c>
      <c r="C131" s="18" t="s">
        <v>13</v>
      </c>
      <c r="D131" s="9">
        <v>46195</v>
      </c>
      <c r="E131" s="17" t="s">
        <v>118</v>
      </c>
      <c r="F131" s="12"/>
      <c r="G131" s="12"/>
      <c r="H131" s="13">
        <v>0</v>
      </c>
      <c r="I131" s="14">
        <v>8.5</v>
      </c>
      <c r="J131" s="15">
        <v>-8.5</v>
      </c>
      <c r="K131" s="17" t="s">
        <v>68</v>
      </c>
      <c r="M131"/>
      <c r="N131"/>
      <c r="P131" s="1"/>
      <c r="U131" s="1"/>
    </row>
    <row r="132" spans="1:21" x14ac:dyDescent="0.3">
      <c r="A132" s="11">
        <v>10000998</v>
      </c>
      <c r="B132" s="17" t="s">
        <v>59</v>
      </c>
      <c r="C132" s="18" t="s">
        <v>13</v>
      </c>
      <c r="D132" s="9">
        <v>46196</v>
      </c>
      <c r="E132" s="17" t="s">
        <v>119</v>
      </c>
      <c r="F132" s="12"/>
      <c r="G132" s="12"/>
      <c r="H132" s="13">
        <v>0</v>
      </c>
      <c r="I132" s="14">
        <v>8.5</v>
      </c>
      <c r="J132" s="15">
        <v>-8.5</v>
      </c>
      <c r="K132" s="17" t="s">
        <v>68</v>
      </c>
      <c r="M132"/>
      <c r="N132"/>
      <c r="P132" s="1"/>
      <c r="U132" s="1"/>
    </row>
    <row r="133" spans="1:21" x14ac:dyDescent="0.3">
      <c r="A133" s="11">
        <v>10000998</v>
      </c>
      <c r="B133" s="17" t="s">
        <v>59</v>
      </c>
      <c r="C133" s="18" t="s">
        <v>13</v>
      </c>
      <c r="D133" s="9">
        <v>46197</v>
      </c>
      <c r="E133" s="17" t="s">
        <v>123</v>
      </c>
      <c r="F133" s="12"/>
      <c r="G133" s="12"/>
      <c r="H133" s="13">
        <v>0</v>
      </c>
      <c r="I133" s="14">
        <v>8.5</v>
      </c>
      <c r="J133" s="15">
        <v>-8.5</v>
      </c>
      <c r="K133" s="17" t="s">
        <v>68</v>
      </c>
      <c r="M133"/>
      <c r="N133"/>
      <c r="P133" s="1"/>
      <c r="U133" s="1"/>
    </row>
    <row r="134" spans="1:21" x14ac:dyDescent="0.3">
      <c r="A134" s="11">
        <v>10000998</v>
      </c>
      <c r="B134" s="17" t="s">
        <v>59</v>
      </c>
      <c r="C134" s="18" t="s">
        <v>13</v>
      </c>
      <c r="D134" s="9">
        <v>46198</v>
      </c>
      <c r="E134" s="17" t="s">
        <v>124</v>
      </c>
      <c r="F134" s="12"/>
      <c r="G134" s="12"/>
      <c r="H134" s="13">
        <v>0</v>
      </c>
      <c r="I134" s="14">
        <v>8.5</v>
      </c>
      <c r="J134" s="15">
        <v>-8.5</v>
      </c>
      <c r="K134" s="17" t="s">
        <v>68</v>
      </c>
      <c r="M134"/>
      <c r="N134"/>
      <c r="P134" s="1"/>
      <c r="U134" s="1"/>
    </row>
    <row r="135" spans="1:21" x14ac:dyDescent="0.3">
      <c r="A135" s="11">
        <v>10000998</v>
      </c>
      <c r="B135" s="17" t="s">
        <v>59</v>
      </c>
      <c r="C135" s="18" t="s">
        <v>13</v>
      </c>
      <c r="D135" s="9">
        <v>46199</v>
      </c>
      <c r="E135" s="17" t="s">
        <v>125</v>
      </c>
      <c r="F135" s="12"/>
      <c r="G135" s="12"/>
      <c r="H135" s="13">
        <v>0</v>
      </c>
      <c r="I135" s="14">
        <v>3</v>
      </c>
      <c r="J135" s="15">
        <v>-3</v>
      </c>
      <c r="K135" s="17" t="s">
        <v>68</v>
      </c>
      <c r="M135"/>
      <c r="N135"/>
      <c r="P135" s="1"/>
      <c r="U135" s="1"/>
    </row>
    <row r="136" spans="1:21" x14ac:dyDescent="0.3">
      <c r="A136" s="11">
        <v>10000998</v>
      </c>
      <c r="B136" s="17" t="s">
        <v>59</v>
      </c>
      <c r="C136" s="18" t="s">
        <v>13</v>
      </c>
      <c r="D136" s="9">
        <v>46200</v>
      </c>
      <c r="E136" s="17" t="s">
        <v>126</v>
      </c>
      <c r="F136" s="12"/>
      <c r="G136" s="12"/>
      <c r="H136" s="13">
        <v>0</v>
      </c>
      <c r="I136" s="14">
        <v>0</v>
      </c>
      <c r="J136" s="15">
        <v>0</v>
      </c>
      <c r="K136" s="17" t="s">
        <v>116</v>
      </c>
      <c r="M136"/>
      <c r="N136"/>
      <c r="P136" s="1"/>
      <c r="U136" s="1"/>
    </row>
    <row r="137" spans="1:21" x14ac:dyDescent="0.3">
      <c r="A137" s="11">
        <v>10000998</v>
      </c>
      <c r="B137" s="17" t="s">
        <v>59</v>
      </c>
      <c r="C137" s="18" t="s">
        <v>13</v>
      </c>
      <c r="D137" s="9">
        <v>46201</v>
      </c>
      <c r="E137" s="17" t="s">
        <v>113</v>
      </c>
      <c r="F137" s="12"/>
      <c r="G137" s="12"/>
      <c r="H137" s="13">
        <v>0</v>
      </c>
      <c r="I137" s="14">
        <v>8.5</v>
      </c>
      <c r="J137" s="15">
        <v>-8.5</v>
      </c>
      <c r="K137" s="17" t="s">
        <v>68</v>
      </c>
      <c r="M137"/>
      <c r="N137"/>
      <c r="P137" s="1"/>
      <c r="U137" s="1"/>
    </row>
    <row r="138" spans="1:21" x14ac:dyDescent="0.3">
      <c r="A138" s="11">
        <v>10000998</v>
      </c>
      <c r="B138" s="17" t="s">
        <v>59</v>
      </c>
      <c r="C138" s="18" t="s">
        <v>13</v>
      </c>
      <c r="D138" s="9">
        <v>46202</v>
      </c>
      <c r="E138" s="17" t="s">
        <v>118</v>
      </c>
      <c r="F138" s="12"/>
      <c r="G138" s="12"/>
      <c r="H138" s="13">
        <v>0</v>
      </c>
      <c r="I138" s="14">
        <v>8.5</v>
      </c>
      <c r="J138" s="15">
        <v>-8.5</v>
      </c>
      <c r="K138" s="17" t="s">
        <v>68</v>
      </c>
      <c r="M138"/>
      <c r="N138"/>
      <c r="P138" s="1"/>
      <c r="U138" s="1"/>
    </row>
    <row r="139" spans="1:21" x14ac:dyDescent="0.3">
      <c r="A139" s="11">
        <v>10001017</v>
      </c>
      <c r="B139" s="17" t="s">
        <v>21</v>
      </c>
      <c r="C139" s="18" t="s">
        <v>13</v>
      </c>
      <c r="D139" s="9">
        <v>46194</v>
      </c>
      <c r="E139" s="17" t="s">
        <v>113</v>
      </c>
      <c r="F139" s="12">
        <v>0.37430555555555556</v>
      </c>
      <c r="G139" s="12">
        <v>0.37430555555555556</v>
      </c>
      <c r="H139" s="13">
        <v>0</v>
      </c>
      <c r="I139" s="14">
        <v>8.5</v>
      </c>
      <c r="J139" s="15">
        <v>-8.5</v>
      </c>
      <c r="K139" s="17" t="s">
        <v>67</v>
      </c>
      <c r="M139"/>
      <c r="N139"/>
      <c r="P139" s="1"/>
      <c r="U139" s="1"/>
    </row>
    <row r="140" spans="1:21" x14ac:dyDescent="0.3">
      <c r="A140" s="11">
        <v>10001017</v>
      </c>
      <c r="B140" s="17" t="s">
        <v>21</v>
      </c>
      <c r="C140" s="18" t="s">
        <v>13</v>
      </c>
      <c r="D140" s="9">
        <v>46195</v>
      </c>
      <c r="E140" s="17" t="s">
        <v>118</v>
      </c>
      <c r="F140" s="12">
        <v>0.36677083333333332</v>
      </c>
      <c r="G140" s="12">
        <v>0.36677083333333332</v>
      </c>
      <c r="H140" s="13">
        <v>0</v>
      </c>
      <c r="I140" s="14">
        <v>8.5</v>
      </c>
      <c r="J140" s="15">
        <v>-8.5</v>
      </c>
      <c r="K140" s="17" t="s">
        <v>67</v>
      </c>
      <c r="M140"/>
      <c r="N140"/>
      <c r="P140" s="1"/>
      <c r="U140" s="1"/>
    </row>
    <row r="141" spans="1:21" x14ac:dyDescent="0.3">
      <c r="A141" s="11">
        <v>10001017</v>
      </c>
      <c r="B141" s="17" t="s">
        <v>21</v>
      </c>
      <c r="C141" s="18" t="s">
        <v>13</v>
      </c>
      <c r="D141" s="9">
        <v>46196</v>
      </c>
      <c r="E141" s="17" t="s">
        <v>119</v>
      </c>
      <c r="F141" s="12">
        <v>0.38403935185185184</v>
      </c>
      <c r="G141" s="12">
        <v>0.38403935185185184</v>
      </c>
      <c r="H141" s="13">
        <v>0</v>
      </c>
      <c r="I141" s="14">
        <v>8.5</v>
      </c>
      <c r="J141" s="15">
        <v>-8.5</v>
      </c>
      <c r="K141" s="17" t="s">
        <v>67</v>
      </c>
      <c r="M141"/>
      <c r="N141"/>
      <c r="P141" s="1"/>
      <c r="U141" s="1"/>
    </row>
    <row r="142" spans="1:21" x14ac:dyDescent="0.3">
      <c r="A142" s="11">
        <v>10001017</v>
      </c>
      <c r="B142" s="17" t="s">
        <v>21</v>
      </c>
      <c r="C142" s="18" t="s">
        <v>13</v>
      </c>
      <c r="D142" s="9">
        <v>46197</v>
      </c>
      <c r="E142" s="17" t="s">
        <v>123</v>
      </c>
      <c r="F142" s="12">
        <v>0.73405092592592591</v>
      </c>
      <c r="G142" s="12">
        <v>0.73405092592592591</v>
      </c>
      <c r="H142" s="13">
        <v>0</v>
      </c>
      <c r="I142" s="14">
        <v>8.5</v>
      </c>
      <c r="J142" s="15">
        <v>-8.5</v>
      </c>
      <c r="K142" s="17" t="s">
        <v>67</v>
      </c>
      <c r="M142"/>
      <c r="N142"/>
      <c r="P142" s="1"/>
      <c r="U142" s="1"/>
    </row>
    <row r="143" spans="1:21" x14ac:dyDescent="0.3">
      <c r="A143" s="11">
        <v>10001017</v>
      </c>
      <c r="B143" s="17" t="s">
        <v>21</v>
      </c>
      <c r="C143" s="18" t="s">
        <v>13</v>
      </c>
      <c r="D143" s="9">
        <v>46198</v>
      </c>
      <c r="E143" s="17" t="s">
        <v>124</v>
      </c>
      <c r="F143" s="12">
        <v>0.3780324074074074</v>
      </c>
      <c r="G143" s="12">
        <v>0.71942129629629625</v>
      </c>
      <c r="H143" s="13">
        <v>8.1933333333333316</v>
      </c>
      <c r="I143" s="14">
        <v>8.5</v>
      </c>
      <c r="J143" s="15">
        <v>-0.30666666666666842</v>
      </c>
      <c r="K143" s="17" t="s">
        <v>121</v>
      </c>
      <c r="M143"/>
      <c r="N143"/>
      <c r="P143" s="1"/>
      <c r="U143" s="1"/>
    </row>
    <row r="144" spans="1:21" x14ac:dyDescent="0.3">
      <c r="A144" s="11">
        <v>10001017</v>
      </c>
      <c r="B144" s="17" t="s">
        <v>21</v>
      </c>
      <c r="C144" s="18" t="s">
        <v>13</v>
      </c>
      <c r="D144" s="9">
        <v>46199</v>
      </c>
      <c r="E144" s="17" t="s">
        <v>125</v>
      </c>
      <c r="F144" s="12">
        <v>0.51159722222222226</v>
      </c>
      <c r="G144" s="12">
        <v>0.51159722222222226</v>
      </c>
      <c r="H144" s="13">
        <v>0</v>
      </c>
      <c r="I144" s="14">
        <v>3</v>
      </c>
      <c r="J144" s="15">
        <v>-3</v>
      </c>
      <c r="K144" s="17" t="s">
        <v>67</v>
      </c>
      <c r="M144"/>
      <c r="N144"/>
      <c r="P144" s="1"/>
      <c r="U144" s="1"/>
    </row>
    <row r="145" spans="1:21" x14ac:dyDescent="0.3">
      <c r="A145" s="11">
        <v>10001017</v>
      </c>
      <c r="B145" s="17" t="s">
        <v>21</v>
      </c>
      <c r="C145" s="18" t="s">
        <v>13</v>
      </c>
      <c r="D145" s="9">
        <v>46200</v>
      </c>
      <c r="E145" s="17" t="s">
        <v>126</v>
      </c>
      <c r="F145" s="12"/>
      <c r="G145" s="12"/>
      <c r="H145" s="13">
        <v>0</v>
      </c>
      <c r="I145" s="14">
        <v>0</v>
      </c>
      <c r="J145" s="15">
        <v>0</v>
      </c>
      <c r="K145" s="17" t="s">
        <v>116</v>
      </c>
      <c r="M145"/>
      <c r="N145"/>
      <c r="P145" s="1"/>
      <c r="U145" s="1"/>
    </row>
    <row r="146" spans="1:21" x14ac:dyDescent="0.3">
      <c r="A146" s="11">
        <v>10001017</v>
      </c>
      <c r="B146" s="17" t="s">
        <v>21</v>
      </c>
      <c r="C146" s="18" t="s">
        <v>13</v>
      </c>
      <c r="D146" s="9">
        <v>46201</v>
      </c>
      <c r="E146" s="17" t="s">
        <v>113</v>
      </c>
      <c r="F146" s="12">
        <v>0.3898611111111111</v>
      </c>
      <c r="G146" s="12">
        <v>0.3898611111111111</v>
      </c>
      <c r="H146" s="13">
        <v>0</v>
      </c>
      <c r="I146" s="14">
        <v>8.5</v>
      </c>
      <c r="J146" s="15">
        <v>-8.5</v>
      </c>
      <c r="K146" s="17" t="s">
        <v>67</v>
      </c>
      <c r="M146"/>
      <c r="N146"/>
      <c r="P146" s="1"/>
      <c r="U146" s="1"/>
    </row>
    <row r="147" spans="1:21" x14ac:dyDescent="0.3">
      <c r="A147" s="11">
        <v>10001017</v>
      </c>
      <c r="B147" s="17" t="s">
        <v>21</v>
      </c>
      <c r="C147" s="18" t="s">
        <v>13</v>
      </c>
      <c r="D147" s="9">
        <v>46202</v>
      </c>
      <c r="E147" s="17" t="s">
        <v>118</v>
      </c>
      <c r="F147" s="12">
        <v>0.78978009259259263</v>
      </c>
      <c r="G147" s="12">
        <v>0.78978009259259263</v>
      </c>
      <c r="H147" s="13">
        <v>0</v>
      </c>
      <c r="I147" s="14">
        <v>8.5</v>
      </c>
      <c r="J147" s="15">
        <v>-8.5</v>
      </c>
      <c r="K147" s="17" t="s">
        <v>67</v>
      </c>
      <c r="M147"/>
      <c r="N147"/>
      <c r="P147" s="1"/>
      <c r="U147" s="1"/>
    </row>
    <row r="148" spans="1:21" x14ac:dyDescent="0.3">
      <c r="A148" s="11">
        <v>10001035</v>
      </c>
      <c r="B148" s="17" t="s">
        <v>45</v>
      </c>
      <c r="C148" s="18" t="s">
        <v>13</v>
      </c>
      <c r="D148" s="9">
        <v>46194</v>
      </c>
      <c r="E148" s="17" t="s">
        <v>113</v>
      </c>
      <c r="F148" s="12"/>
      <c r="G148" s="12"/>
      <c r="H148" s="13">
        <v>0</v>
      </c>
      <c r="I148" s="14">
        <v>8.5</v>
      </c>
      <c r="J148" s="15">
        <v>-8.5</v>
      </c>
      <c r="K148" s="17" t="s">
        <v>68</v>
      </c>
      <c r="M148"/>
      <c r="N148"/>
      <c r="P148" s="1"/>
      <c r="U148" s="1"/>
    </row>
    <row r="149" spans="1:21" x14ac:dyDescent="0.3">
      <c r="A149" s="11">
        <v>10001035</v>
      </c>
      <c r="B149" s="17" t="s">
        <v>45</v>
      </c>
      <c r="C149" s="18" t="s">
        <v>13</v>
      </c>
      <c r="D149" s="9">
        <v>46195</v>
      </c>
      <c r="E149" s="17" t="s">
        <v>118</v>
      </c>
      <c r="F149" s="12">
        <v>0.26780092592592591</v>
      </c>
      <c r="G149" s="12">
        <v>0.7251157407407407</v>
      </c>
      <c r="H149" s="13">
        <v>10.975555555555555</v>
      </c>
      <c r="I149" s="14">
        <v>8.5</v>
      </c>
      <c r="J149" s="15">
        <v>2.4755555555555553</v>
      </c>
      <c r="K149" s="17" t="s">
        <v>115</v>
      </c>
      <c r="M149"/>
      <c r="N149"/>
      <c r="P149" s="1"/>
      <c r="U149" s="1"/>
    </row>
    <row r="150" spans="1:21" x14ac:dyDescent="0.3">
      <c r="A150" s="11">
        <v>10001035</v>
      </c>
      <c r="B150" s="17" t="s">
        <v>45</v>
      </c>
      <c r="C150" s="18" t="s">
        <v>13</v>
      </c>
      <c r="D150" s="9">
        <v>46196</v>
      </c>
      <c r="E150" s="17" t="s">
        <v>119</v>
      </c>
      <c r="F150" s="12">
        <v>0.25958333333333333</v>
      </c>
      <c r="G150" s="12">
        <v>0.71957175925925931</v>
      </c>
      <c r="H150" s="13">
        <v>11.039722222222224</v>
      </c>
      <c r="I150" s="14">
        <v>8.5</v>
      </c>
      <c r="J150" s="15">
        <v>2.539722222222224</v>
      </c>
      <c r="K150" s="17" t="s">
        <v>115</v>
      </c>
      <c r="M150"/>
      <c r="N150"/>
      <c r="P150" s="1"/>
      <c r="U150" s="1"/>
    </row>
    <row r="151" spans="1:21" x14ac:dyDescent="0.3">
      <c r="A151" s="11">
        <v>10001035</v>
      </c>
      <c r="B151" s="17" t="s">
        <v>45</v>
      </c>
      <c r="C151" s="18" t="s">
        <v>13</v>
      </c>
      <c r="D151" s="9">
        <v>46197</v>
      </c>
      <c r="E151" s="17" t="s">
        <v>123</v>
      </c>
      <c r="F151" s="12">
        <v>0.25542824074074072</v>
      </c>
      <c r="G151" s="12">
        <v>0.72240740740740739</v>
      </c>
      <c r="H151" s="13">
        <v>11.2075</v>
      </c>
      <c r="I151" s="14">
        <v>8.5</v>
      </c>
      <c r="J151" s="15">
        <v>2.7074999999999996</v>
      </c>
      <c r="K151" s="17" t="s">
        <v>115</v>
      </c>
      <c r="M151"/>
      <c r="N151"/>
      <c r="P151" s="1"/>
      <c r="U151" s="1"/>
    </row>
    <row r="152" spans="1:21" x14ac:dyDescent="0.3">
      <c r="A152" s="11">
        <v>10001035</v>
      </c>
      <c r="B152" s="17" t="s">
        <v>45</v>
      </c>
      <c r="C152" s="18" t="s">
        <v>13</v>
      </c>
      <c r="D152" s="9">
        <v>46198</v>
      </c>
      <c r="E152" s="17" t="s">
        <v>124</v>
      </c>
      <c r="F152" s="12">
        <v>0.26450231481481479</v>
      </c>
      <c r="G152" s="12">
        <v>0.72478009259259257</v>
      </c>
      <c r="H152" s="13">
        <v>11.046666666666667</v>
      </c>
      <c r="I152" s="14">
        <v>8.5</v>
      </c>
      <c r="J152" s="15">
        <v>2.5466666666666669</v>
      </c>
      <c r="K152" s="17" t="s">
        <v>115</v>
      </c>
      <c r="M152"/>
      <c r="N152"/>
      <c r="P152" s="1"/>
      <c r="U152" s="1"/>
    </row>
    <row r="153" spans="1:21" x14ac:dyDescent="0.3">
      <c r="A153" s="11">
        <v>10001035</v>
      </c>
      <c r="B153" s="17" t="s">
        <v>45</v>
      </c>
      <c r="C153" s="18" t="s">
        <v>13</v>
      </c>
      <c r="D153" s="9">
        <v>46199</v>
      </c>
      <c r="E153" s="17" t="s">
        <v>125</v>
      </c>
      <c r="F153" s="12">
        <v>0.26445601851851852</v>
      </c>
      <c r="G153" s="12">
        <v>0.50506944444444446</v>
      </c>
      <c r="H153" s="13">
        <v>5.7747222222222225</v>
      </c>
      <c r="I153" s="14">
        <v>3</v>
      </c>
      <c r="J153" s="15">
        <v>2.7747222222222225</v>
      </c>
      <c r="K153" s="17" t="s">
        <v>115</v>
      </c>
      <c r="M153"/>
      <c r="N153"/>
      <c r="P153" s="1"/>
      <c r="U153" s="1"/>
    </row>
    <row r="154" spans="1:21" x14ac:dyDescent="0.3">
      <c r="A154" s="11">
        <v>10001035</v>
      </c>
      <c r="B154" s="17" t="s">
        <v>45</v>
      </c>
      <c r="C154" s="18" t="s">
        <v>13</v>
      </c>
      <c r="D154" s="9">
        <v>46200</v>
      </c>
      <c r="E154" s="17" t="s">
        <v>126</v>
      </c>
      <c r="F154" s="12"/>
      <c r="G154" s="12"/>
      <c r="H154" s="13">
        <v>0</v>
      </c>
      <c r="I154" s="14">
        <v>0</v>
      </c>
      <c r="J154" s="15">
        <v>0</v>
      </c>
      <c r="K154" s="17" t="s">
        <v>116</v>
      </c>
      <c r="M154"/>
      <c r="N154"/>
      <c r="P154" s="1"/>
      <c r="U154" s="1"/>
    </row>
    <row r="155" spans="1:21" x14ac:dyDescent="0.3">
      <c r="A155" s="11">
        <v>10001035</v>
      </c>
      <c r="B155" s="17" t="s">
        <v>45</v>
      </c>
      <c r="C155" s="18" t="s">
        <v>13</v>
      </c>
      <c r="D155" s="9">
        <v>46201</v>
      </c>
      <c r="E155" s="17" t="s">
        <v>113</v>
      </c>
      <c r="F155" s="12"/>
      <c r="G155" s="12"/>
      <c r="H155" s="13">
        <v>0</v>
      </c>
      <c r="I155" s="14">
        <v>8.5</v>
      </c>
      <c r="J155" s="15">
        <v>-8.5</v>
      </c>
      <c r="K155" s="17" t="s">
        <v>68</v>
      </c>
      <c r="M155"/>
      <c r="N155"/>
      <c r="P155" s="1"/>
      <c r="U155" s="1"/>
    </row>
    <row r="156" spans="1:21" x14ac:dyDescent="0.3">
      <c r="A156" s="11">
        <v>10001035</v>
      </c>
      <c r="B156" s="17" t="s">
        <v>45</v>
      </c>
      <c r="C156" s="18" t="s">
        <v>13</v>
      </c>
      <c r="D156" s="9">
        <v>46202</v>
      </c>
      <c r="E156" s="17" t="s">
        <v>118</v>
      </c>
      <c r="F156" s="12">
        <v>0.2739699074074074</v>
      </c>
      <c r="G156" s="12">
        <v>0.71775462962962966</v>
      </c>
      <c r="H156" s="13">
        <v>10.650833333333335</v>
      </c>
      <c r="I156" s="14">
        <v>8.5</v>
      </c>
      <c r="J156" s="15">
        <v>2.1508333333333347</v>
      </c>
      <c r="K156" s="17" t="s">
        <v>115</v>
      </c>
      <c r="M156"/>
      <c r="N156"/>
      <c r="P156" s="1"/>
      <c r="U156" s="1"/>
    </row>
    <row r="157" spans="1:21" x14ac:dyDescent="0.3">
      <c r="A157" s="11">
        <v>10001086</v>
      </c>
      <c r="B157" s="17" t="s">
        <v>76</v>
      </c>
      <c r="C157" s="18" t="s">
        <v>11</v>
      </c>
      <c r="D157" s="9">
        <v>46194</v>
      </c>
      <c r="E157" s="17" t="s">
        <v>113</v>
      </c>
      <c r="F157" s="12"/>
      <c r="G157" s="12"/>
      <c r="H157" s="13">
        <v>0</v>
      </c>
      <c r="I157" s="14">
        <v>0</v>
      </c>
      <c r="J157" s="15">
        <v>0</v>
      </c>
      <c r="K157" s="17" t="s">
        <v>116</v>
      </c>
      <c r="M157"/>
      <c r="N157"/>
      <c r="P157" s="1"/>
      <c r="U157" s="1"/>
    </row>
    <row r="158" spans="1:21" x14ac:dyDescent="0.3">
      <c r="A158" s="11">
        <v>10001086</v>
      </c>
      <c r="B158" s="17" t="s">
        <v>76</v>
      </c>
      <c r="C158" s="18" t="s">
        <v>11</v>
      </c>
      <c r="D158" s="9">
        <v>46195</v>
      </c>
      <c r="E158" s="17" t="s">
        <v>118</v>
      </c>
      <c r="F158" s="12">
        <v>0.31927083333333334</v>
      </c>
      <c r="G158" s="12">
        <v>0.86670138888888892</v>
      </c>
      <c r="H158" s="13">
        <v>13.138333333333335</v>
      </c>
      <c r="I158" s="14">
        <v>9</v>
      </c>
      <c r="J158" s="15">
        <v>4.1383333333333354</v>
      </c>
      <c r="K158" s="17" t="s">
        <v>115</v>
      </c>
      <c r="M158"/>
      <c r="N158"/>
      <c r="P158" s="1"/>
      <c r="U158" s="1"/>
    </row>
    <row r="159" spans="1:21" x14ac:dyDescent="0.3">
      <c r="A159" s="11">
        <v>10001086</v>
      </c>
      <c r="B159" s="17" t="s">
        <v>76</v>
      </c>
      <c r="C159" s="18" t="s">
        <v>11</v>
      </c>
      <c r="D159" s="9">
        <v>46196</v>
      </c>
      <c r="E159" s="17" t="s">
        <v>119</v>
      </c>
      <c r="F159" s="12">
        <v>0.3155324074074074</v>
      </c>
      <c r="G159" s="12">
        <v>0.86678240740740742</v>
      </c>
      <c r="H159" s="13">
        <v>13.23</v>
      </c>
      <c r="I159" s="14">
        <v>9</v>
      </c>
      <c r="J159" s="15">
        <v>4.2300000000000004</v>
      </c>
      <c r="K159" s="17" t="s">
        <v>115</v>
      </c>
      <c r="M159"/>
      <c r="N159"/>
      <c r="P159" s="1"/>
      <c r="U159" s="1"/>
    </row>
    <row r="160" spans="1:21" x14ac:dyDescent="0.3">
      <c r="A160" s="11">
        <v>10001086</v>
      </c>
      <c r="B160" s="17" t="s">
        <v>76</v>
      </c>
      <c r="C160" s="18" t="s">
        <v>11</v>
      </c>
      <c r="D160" s="9">
        <v>46197</v>
      </c>
      <c r="E160" s="17" t="s">
        <v>123</v>
      </c>
      <c r="F160" s="12">
        <v>0.32245370370370369</v>
      </c>
      <c r="G160" s="12">
        <v>0.79682870370370373</v>
      </c>
      <c r="H160" s="13">
        <v>11.385000000000002</v>
      </c>
      <c r="I160" s="14">
        <v>9</v>
      </c>
      <c r="J160" s="15">
        <v>2.3850000000000016</v>
      </c>
      <c r="K160" s="17" t="s">
        <v>115</v>
      </c>
      <c r="M160"/>
      <c r="N160"/>
      <c r="P160" s="1"/>
      <c r="U160" s="1"/>
    </row>
    <row r="161" spans="1:21" x14ac:dyDescent="0.3">
      <c r="A161" s="11">
        <v>10001086</v>
      </c>
      <c r="B161" s="17" t="s">
        <v>76</v>
      </c>
      <c r="C161" s="18" t="s">
        <v>11</v>
      </c>
      <c r="D161" s="9">
        <v>46198</v>
      </c>
      <c r="E161" s="17" t="s">
        <v>124</v>
      </c>
      <c r="F161" s="12">
        <v>0.31990740740740742</v>
      </c>
      <c r="G161" s="12">
        <v>0.84158564814814818</v>
      </c>
      <c r="H161" s="13">
        <v>12.520277777777778</v>
      </c>
      <c r="I161" s="14">
        <v>9</v>
      </c>
      <c r="J161" s="15">
        <v>3.5202777777777783</v>
      </c>
      <c r="K161" s="17" t="s">
        <v>115</v>
      </c>
      <c r="M161"/>
      <c r="N161"/>
      <c r="P161" s="1"/>
      <c r="U161" s="1"/>
    </row>
    <row r="162" spans="1:21" x14ac:dyDescent="0.3">
      <c r="A162" s="11">
        <v>10001086</v>
      </c>
      <c r="B162" s="17" t="s">
        <v>76</v>
      </c>
      <c r="C162" s="18" t="s">
        <v>11</v>
      </c>
      <c r="D162" s="9">
        <v>46199</v>
      </c>
      <c r="E162" s="17" t="s">
        <v>125</v>
      </c>
      <c r="F162" s="12">
        <v>0.31498842592592591</v>
      </c>
      <c r="G162" s="12">
        <v>0.76980324074074069</v>
      </c>
      <c r="H162" s="13">
        <v>10.915555555555555</v>
      </c>
      <c r="I162" s="14">
        <v>4</v>
      </c>
      <c r="J162" s="15">
        <v>6.9155555555555548</v>
      </c>
      <c r="K162" s="17" t="s">
        <v>115</v>
      </c>
      <c r="M162"/>
      <c r="N162"/>
      <c r="P162" s="1"/>
      <c r="U162" s="1"/>
    </row>
    <row r="163" spans="1:21" x14ac:dyDescent="0.3">
      <c r="A163" s="11">
        <v>10001086</v>
      </c>
      <c r="B163" s="17" t="s">
        <v>76</v>
      </c>
      <c r="C163" s="18" t="s">
        <v>11</v>
      </c>
      <c r="D163" s="9">
        <v>46200</v>
      </c>
      <c r="E163" s="17" t="s">
        <v>126</v>
      </c>
      <c r="F163" s="12"/>
      <c r="G163" s="12"/>
      <c r="H163" s="13">
        <v>0</v>
      </c>
      <c r="I163" s="14">
        <v>0</v>
      </c>
      <c r="J163" s="15">
        <v>0</v>
      </c>
      <c r="K163" s="17" t="s">
        <v>116</v>
      </c>
      <c r="M163"/>
      <c r="N163"/>
      <c r="P163" s="1"/>
      <c r="U163" s="1"/>
    </row>
    <row r="164" spans="1:21" x14ac:dyDescent="0.3">
      <c r="A164" s="11">
        <v>10001086</v>
      </c>
      <c r="B164" s="17" t="s">
        <v>76</v>
      </c>
      <c r="C164" s="18" t="s">
        <v>11</v>
      </c>
      <c r="D164" s="9">
        <v>46201</v>
      </c>
      <c r="E164" s="17" t="s">
        <v>113</v>
      </c>
      <c r="F164" s="12"/>
      <c r="G164" s="12"/>
      <c r="H164" s="13">
        <v>0</v>
      </c>
      <c r="I164" s="14">
        <v>0</v>
      </c>
      <c r="J164" s="15">
        <v>0</v>
      </c>
      <c r="K164" s="17" t="s">
        <v>116</v>
      </c>
      <c r="M164"/>
      <c r="N164"/>
      <c r="P164" s="1"/>
      <c r="U164" s="1"/>
    </row>
    <row r="165" spans="1:21" x14ac:dyDescent="0.3">
      <c r="A165" s="11">
        <v>10001086</v>
      </c>
      <c r="B165" s="17" t="s">
        <v>76</v>
      </c>
      <c r="C165" s="18" t="s">
        <v>11</v>
      </c>
      <c r="D165" s="9">
        <v>46202</v>
      </c>
      <c r="E165" s="17" t="s">
        <v>118</v>
      </c>
      <c r="F165" s="12">
        <v>0.31858796296296299</v>
      </c>
      <c r="G165" s="12">
        <v>0.83469907407407407</v>
      </c>
      <c r="H165" s="13">
        <v>12.386666666666667</v>
      </c>
      <c r="I165" s="14">
        <v>9</v>
      </c>
      <c r="J165" s="15">
        <v>3.3866666666666667</v>
      </c>
      <c r="K165" s="17" t="s">
        <v>115</v>
      </c>
      <c r="M165"/>
      <c r="N165"/>
      <c r="P165" s="1"/>
      <c r="U165" s="1"/>
    </row>
    <row r="166" spans="1:21" x14ac:dyDescent="0.3">
      <c r="A166" s="11">
        <v>10001260</v>
      </c>
      <c r="B166" s="17" t="s">
        <v>58</v>
      </c>
      <c r="C166" s="18" t="s">
        <v>17</v>
      </c>
      <c r="D166" s="9">
        <v>46194</v>
      </c>
      <c r="E166" s="17" t="s">
        <v>113</v>
      </c>
      <c r="F166" s="12"/>
      <c r="G166" s="12"/>
      <c r="H166" s="13">
        <v>0</v>
      </c>
      <c r="I166" s="14">
        <v>0</v>
      </c>
      <c r="J166" s="15">
        <v>0</v>
      </c>
      <c r="K166" s="17" t="s">
        <v>116</v>
      </c>
      <c r="M166"/>
      <c r="N166"/>
      <c r="P166" s="1"/>
      <c r="U166" s="1"/>
    </row>
    <row r="167" spans="1:21" x14ac:dyDescent="0.3">
      <c r="A167" s="11">
        <v>10001260</v>
      </c>
      <c r="B167" s="17" t="s">
        <v>58</v>
      </c>
      <c r="C167" s="18" t="s">
        <v>17</v>
      </c>
      <c r="D167" s="9">
        <v>46195</v>
      </c>
      <c r="E167" s="17" t="s">
        <v>118</v>
      </c>
      <c r="F167" s="12">
        <v>0.3195486111111111</v>
      </c>
      <c r="G167" s="12">
        <v>0.73207175925925927</v>
      </c>
      <c r="H167" s="13">
        <v>9.900555555555556</v>
      </c>
      <c r="I167" s="14">
        <v>9</v>
      </c>
      <c r="J167" s="15">
        <v>0.900555555555556</v>
      </c>
      <c r="K167" s="17" t="s">
        <v>115</v>
      </c>
      <c r="M167"/>
      <c r="N167"/>
      <c r="P167" s="1"/>
      <c r="U167" s="1"/>
    </row>
    <row r="168" spans="1:21" x14ac:dyDescent="0.3">
      <c r="A168" s="11">
        <v>10001260</v>
      </c>
      <c r="B168" s="17" t="s">
        <v>58</v>
      </c>
      <c r="C168" s="18" t="s">
        <v>17</v>
      </c>
      <c r="D168" s="9">
        <v>46196</v>
      </c>
      <c r="E168" s="17" t="s">
        <v>119</v>
      </c>
      <c r="F168" s="12">
        <v>0.32074074074074072</v>
      </c>
      <c r="G168" s="12">
        <v>0.72703703703703704</v>
      </c>
      <c r="H168" s="13">
        <v>9.7511111111111113</v>
      </c>
      <c r="I168" s="14">
        <v>9</v>
      </c>
      <c r="J168" s="15">
        <v>0.75111111111111128</v>
      </c>
      <c r="K168" s="17" t="s">
        <v>115</v>
      </c>
      <c r="M168"/>
      <c r="N168"/>
      <c r="P168" s="1"/>
      <c r="U168" s="1"/>
    </row>
    <row r="169" spans="1:21" x14ac:dyDescent="0.3">
      <c r="A169" s="11">
        <v>10001260</v>
      </c>
      <c r="B169" s="17" t="s">
        <v>58</v>
      </c>
      <c r="C169" s="18" t="s">
        <v>17</v>
      </c>
      <c r="D169" s="9">
        <v>46197</v>
      </c>
      <c r="E169" s="17" t="s">
        <v>123</v>
      </c>
      <c r="F169" s="12">
        <v>0.32267361111111109</v>
      </c>
      <c r="G169" s="12">
        <v>0.73653935185185182</v>
      </c>
      <c r="H169" s="13">
        <v>9.9327777777777779</v>
      </c>
      <c r="I169" s="14">
        <v>9</v>
      </c>
      <c r="J169" s="15">
        <v>0.93277777777777793</v>
      </c>
      <c r="K169" s="17" t="s">
        <v>115</v>
      </c>
      <c r="M169"/>
      <c r="N169"/>
      <c r="P169" s="1"/>
      <c r="U169" s="1"/>
    </row>
    <row r="170" spans="1:21" x14ac:dyDescent="0.3">
      <c r="A170" s="11">
        <v>10001260</v>
      </c>
      <c r="B170" s="17" t="s">
        <v>58</v>
      </c>
      <c r="C170" s="18" t="s">
        <v>17</v>
      </c>
      <c r="D170" s="9">
        <v>46198</v>
      </c>
      <c r="E170" s="17" t="s">
        <v>124</v>
      </c>
      <c r="F170" s="12">
        <v>0.31935185185185183</v>
      </c>
      <c r="G170" s="12">
        <v>0.72282407407407412</v>
      </c>
      <c r="H170" s="13">
        <v>9.6833333333333353</v>
      </c>
      <c r="I170" s="14">
        <v>9</v>
      </c>
      <c r="J170" s="15">
        <v>0.68333333333333535</v>
      </c>
      <c r="K170" s="17" t="s">
        <v>115</v>
      </c>
      <c r="M170"/>
      <c r="N170"/>
      <c r="P170" s="1"/>
      <c r="U170" s="1"/>
    </row>
    <row r="171" spans="1:21" x14ac:dyDescent="0.3">
      <c r="A171" s="11">
        <v>10001260</v>
      </c>
      <c r="B171" s="17" t="s">
        <v>58</v>
      </c>
      <c r="C171" s="18" t="s">
        <v>17</v>
      </c>
      <c r="D171" s="9">
        <v>46199</v>
      </c>
      <c r="E171" s="17" t="s">
        <v>125</v>
      </c>
      <c r="F171" s="12">
        <v>0.32109953703703703</v>
      </c>
      <c r="G171" s="12">
        <v>0.5524189814814815</v>
      </c>
      <c r="H171" s="13">
        <v>5.5516666666666676</v>
      </c>
      <c r="I171" s="14">
        <v>4</v>
      </c>
      <c r="J171" s="15">
        <v>1.5516666666666676</v>
      </c>
      <c r="K171" s="17" t="s">
        <v>115</v>
      </c>
      <c r="M171"/>
      <c r="N171"/>
      <c r="P171" s="1"/>
      <c r="U171" s="1"/>
    </row>
    <row r="172" spans="1:21" x14ac:dyDescent="0.3">
      <c r="A172" s="11">
        <v>10001260</v>
      </c>
      <c r="B172" s="17" t="s">
        <v>58</v>
      </c>
      <c r="C172" s="18" t="s">
        <v>17</v>
      </c>
      <c r="D172" s="9">
        <v>46200</v>
      </c>
      <c r="E172" s="17" t="s">
        <v>126</v>
      </c>
      <c r="F172" s="12"/>
      <c r="G172" s="12"/>
      <c r="H172" s="13">
        <v>0</v>
      </c>
      <c r="I172" s="14">
        <v>0</v>
      </c>
      <c r="J172" s="15">
        <v>0</v>
      </c>
      <c r="K172" s="17" t="s">
        <v>116</v>
      </c>
      <c r="M172"/>
      <c r="N172"/>
      <c r="P172" s="1"/>
      <c r="U172" s="1"/>
    </row>
    <row r="173" spans="1:21" x14ac:dyDescent="0.3">
      <c r="A173" s="11">
        <v>10001260</v>
      </c>
      <c r="B173" s="17" t="s">
        <v>58</v>
      </c>
      <c r="C173" s="18" t="s">
        <v>17</v>
      </c>
      <c r="D173" s="9">
        <v>46201</v>
      </c>
      <c r="E173" s="17" t="s">
        <v>113</v>
      </c>
      <c r="F173" s="12"/>
      <c r="G173" s="12"/>
      <c r="H173" s="13">
        <v>0</v>
      </c>
      <c r="I173" s="14">
        <v>0</v>
      </c>
      <c r="J173" s="15">
        <v>0</v>
      </c>
      <c r="K173" s="17" t="s">
        <v>116</v>
      </c>
      <c r="M173"/>
      <c r="N173"/>
      <c r="P173" s="1"/>
      <c r="U173" s="1"/>
    </row>
    <row r="174" spans="1:21" x14ac:dyDescent="0.3">
      <c r="A174" s="11">
        <v>10001260</v>
      </c>
      <c r="B174" s="17" t="s">
        <v>58</v>
      </c>
      <c r="C174" s="18" t="s">
        <v>17</v>
      </c>
      <c r="D174" s="9">
        <v>46202</v>
      </c>
      <c r="E174" s="17" t="s">
        <v>118</v>
      </c>
      <c r="F174" s="12">
        <v>0.3215972222222222</v>
      </c>
      <c r="G174" s="12">
        <v>0.7176851851851852</v>
      </c>
      <c r="H174" s="13">
        <v>9.5061111111111121</v>
      </c>
      <c r="I174" s="14">
        <v>9</v>
      </c>
      <c r="J174" s="15">
        <v>0.50611111111111207</v>
      </c>
      <c r="K174" s="17" t="s">
        <v>115</v>
      </c>
      <c r="M174"/>
      <c r="N174"/>
      <c r="P174" s="1"/>
      <c r="U174" s="1"/>
    </row>
    <row r="175" spans="1:21" x14ac:dyDescent="0.3">
      <c r="A175" s="11">
        <v>10001293</v>
      </c>
      <c r="B175" s="17" t="s">
        <v>33</v>
      </c>
      <c r="C175" s="18" t="s">
        <v>11</v>
      </c>
      <c r="D175" s="9">
        <v>46194</v>
      </c>
      <c r="E175" s="17" t="s">
        <v>113</v>
      </c>
      <c r="F175" s="12"/>
      <c r="G175" s="12"/>
      <c r="H175" s="13">
        <v>0</v>
      </c>
      <c r="I175" s="14">
        <v>0</v>
      </c>
      <c r="J175" s="15">
        <v>0</v>
      </c>
      <c r="K175" s="17" t="s">
        <v>129</v>
      </c>
      <c r="M175"/>
      <c r="N175"/>
      <c r="P175" s="1"/>
      <c r="U175" s="1"/>
    </row>
    <row r="176" spans="1:21" x14ac:dyDescent="0.3">
      <c r="A176" s="11">
        <v>10001293</v>
      </c>
      <c r="B176" s="17" t="s">
        <v>33</v>
      </c>
      <c r="C176" s="18" t="s">
        <v>11</v>
      </c>
      <c r="D176" s="9">
        <v>46195</v>
      </c>
      <c r="E176" s="17" t="s">
        <v>118</v>
      </c>
      <c r="F176" s="12"/>
      <c r="G176" s="12"/>
      <c r="H176" s="13">
        <v>0</v>
      </c>
      <c r="I176" s="14">
        <v>0</v>
      </c>
      <c r="J176" s="15">
        <v>0</v>
      </c>
      <c r="K176" s="17" t="s">
        <v>129</v>
      </c>
      <c r="M176"/>
      <c r="N176"/>
      <c r="P176" s="1"/>
      <c r="U176" s="1"/>
    </row>
    <row r="177" spans="1:21" x14ac:dyDescent="0.3">
      <c r="A177" s="11">
        <v>10001293</v>
      </c>
      <c r="B177" s="17" t="s">
        <v>33</v>
      </c>
      <c r="C177" s="18" t="s">
        <v>11</v>
      </c>
      <c r="D177" s="9">
        <v>46196</v>
      </c>
      <c r="E177" s="17" t="s">
        <v>119</v>
      </c>
      <c r="F177" s="12"/>
      <c r="G177" s="12"/>
      <c r="H177" s="13">
        <v>0</v>
      </c>
      <c r="I177" s="14">
        <v>0</v>
      </c>
      <c r="J177" s="15">
        <v>0</v>
      </c>
      <c r="K177" s="17" t="s">
        <v>129</v>
      </c>
      <c r="M177"/>
      <c r="N177"/>
      <c r="P177" s="1"/>
      <c r="U177" s="1"/>
    </row>
    <row r="178" spans="1:21" x14ac:dyDescent="0.3">
      <c r="A178" s="11">
        <v>10001293</v>
      </c>
      <c r="B178" s="17" t="s">
        <v>33</v>
      </c>
      <c r="C178" s="18" t="s">
        <v>11</v>
      </c>
      <c r="D178" s="9">
        <v>46197</v>
      </c>
      <c r="E178" s="17" t="s">
        <v>123</v>
      </c>
      <c r="F178" s="12"/>
      <c r="G178" s="12"/>
      <c r="H178" s="13">
        <v>0</v>
      </c>
      <c r="I178" s="14">
        <v>0</v>
      </c>
      <c r="J178" s="15">
        <v>0</v>
      </c>
      <c r="K178" s="17" t="s">
        <v>129</v>
      </c>
      <c r="M178"/>
      <c r="N178"/>
      <c r="P178" s="1"/>
      <c r="U178" s="1"/>
    </row>
    <row r="179" spans="1:21" x14ac:dyDescent="0.3">
      <c r="A179" s="11">
        <v>10001293</v>
      </c>
      <c r="B179" s="17" t="s">
        <v>33</v>
      </c>
      <c r="C179" s="18" t="s">
        <v>11</v>
      </c>
      <c r="D179" s="9">
        <v>46198</v>
      </c>
      <c r="E179" s="17" t="s">
        <v>124</v>
      </c>
      <c r="F179" s="12"/>
      <c r="G179" s="12"/>
      <c r="H179" s="13">
        <v>0</v>
      </c>
      <c r="I179" s="14">
        <v>0</v>
      </c>
      <c r="J179" s="15">
        <v>0</v>
      </c>
      <c r="K179" s="17" t="s">
        <v>129</v>
      </c>
      <c r="M179"/>
      <c r="N179"/>
      <c r="P179" s="1"/>
      <c r="U179" s="1"/>
    </row>
    <row r="180" spans="1:21" x14ac:dyDescent="0.3">
      <c r="A180" s="11">
        <v>10001293</v>
      </c>
      <c r="B180" s="17" t="s">
        <v>33</v>
      </c>
      <c r="C180" s="18" t="s">
        <v>11</v>
      </c>
      <c r="D180" s="9">
        <v>46199</v>
      </c>
      <c r="E180" s="17" t="s">
        <v>125</v>
      </c>
      <c r="F180" s="12"/>
      <c r="G180" s="12"/>
      <c r="H180" s="13">
        <v>0</v>
      </c>
      <c r="I180" s="14">
        <v>0</v>
      </c>
      <c r="J180" s="15">
        <v>0</v>
      </c>
      <c r="K180" s="17" t="s">
        <v>130</v>
      </c>
      <c r="M180"/>
      <c r="N180"/>
      <c r="P180" s="1"/>
      <c r="U180" s="1"/>
    </row>
    <row r="181" spans="1:21" x14ac:dyDescent="0.3">
      <c r="A181" s="11">
        <v>10001293</v>
      </c>
      <c r="B181" s="17" t="s">
        <v>33</v>
      </c>
      <c r="C181" s="18" t="s">
        <v>11</v>
      </c>
      <c r="D181" s="9">
        <v>46200</v>
      </c>
      <c r="E181" s="17" t="s">
        <v>126</v>
      </c>
      <c r="F181" s="12"/>
      <c r="G181" s="12"/>
      <c r="H181" s="13">
        <v>0</v>
      </c>
      <c r="I181" s="14">
        <v>0</v>
      </c>
      <c r="J181" s="15">
        <v>0</v>
      </c>
      <c r="K181" s="17" t="s">
        <v>130</v>
      </c>
      <c r="M181"/>
      <c r="N181"/>
      <c r="P181" s="1"/>
      <c r="U181" s="1"/>
    </row>
    <row r="182" spans="1:21" x14ac:dyDescent="0.3">
      <c r="A182" s="11">
        <v>10001293</v>
      </c>
      <c r="B182" s="17" t="s">
        <v>33</v>
      </c>
      <c r="C182" s="18" t="s">
        <v>11</v>
      </c>
      <c r="D182" s="9">
        <v>46201</v>
      </c>
      <c r="E182" s="17" t="s">
        <v>113</v>
      </c>
      <c r="F182" s="12"/>
      <c r="G182" s="12"/>
      <c r="H182" s="13">
        <v>0</v>
      </c>
      <c r="I182" s="14">
        <v>0</v>
      </c>
      <c r="J182" s="15">
        <v>0</v>
      </c>
      <c r="K182" s="17" t="s">
        <v>130</v>
      </c>
      <c r="M182"/>
      <c r="N182"/>
      <c r="P182" s="1"/>
      <c r="U182" s="1"/>
    </row>
    <row r="183" spans="1:21" x14ac:dyDescent="0.3">
      <c r="A183" s="11">
        <v>10001293</v>
      </c>
      <c r="B183" s="17" t="s">
        <v>33</v>
      </c>
      <c r="C183" s="18" t="s">
        <v>11</v>
      </c>
      <c r="D183" s="9">
        <v>46202</v>
      </c>
      <c r="E183" s="17" t="s">
        <v>118</v>
      </c>
      <c r="F183" s="12">
        <v>0.26967592592592593</v>
      </c>
      <c r="G183" s="12">
        <v>0.26967592592592593</v>
      </c>
      <c r="H183" s="13">
        <v>0</v>
      </c>
      <c r="I183" s="14">
        <v>0</v>
      </c>
      <c r="J183" s="15">
        <v>0</v>
      </c>
      <c r="K183" s="17" t="s">
        <v>130</v>
      </c>
      <c r="M183"/>
      <c r="N183"/>
      <c r="P183" s="1"/>
      <c r="U183" s="1"/>
    </row>
    <row r="184" spans="1:21" x14ac:dyDescent="0.3">
      <c r="A184" s="11">
        <v>10001376</v>
      </c>
      <c r="B184" s="17" t="s">
        <v>55</v>
      </c>
      <c r="C184" s="18" t="s">
        <v>17</v>
      </c>
      <c r="D184" s="9">
        <v>46194</v>
      </c>
      <c r="E184" s="17" t="s">
        <v>113</v>
      </c>
      <c r="F184" s="12"/>
      <c r="G184" s="12"/>
      <c r="H184" s="13">
        <v>0</v>
      </c>
      <c r="I184" s="14">
        <v>0</v>
      </c>
      <c r="J184" s="15">
        <v>0</v>
      </c>
      <c r="K184" s="17" t="s">
        <v>116</v>
      </c>
      <c r="M184"/>
      <c r="N184"/>
      <c r="P184" s="1"/>
      <c r="U184" s="1"/>
    </row>
    <row r="185" spans="1:21" x14ac:dyDescent="0.3">
      <c r="A185" s="11">
        <v>10001376</v>
      </c>
      <c r="B185" s="17" t="s">
        <v>55</v>
      </c>
      <c r="C185" s="18" t="s">
        <v>17</v>
      </c>
      <c r="D185" s="9">
        <v>46195</v>
      </c>
      <c r="E185" s="17" t="s">
        <v>118</v>
      </c>
      <c r="F185" s="12">
        <v>0.34607638888888886</v>
      </c>
      <c r="G185" s="12">
        <v>0.76094907407407408</v>
      </c>
      <c r="H185" s="13">
        <v>9.9569444444444457</v>
      </c>
      <c r="I185" s="14">
        <v>9</v>
      </c>
      <c r="J185" s="15">
        <v>0.95694444444444571</v>
      </c>
      <c r="K185" s="17" t="s">
        <v>115</v>
      </c>
      <c r="M185"/>
      <c r="N185"/>
      <c r="P185" s="1"/>
      <c r="U185" s="1"/>
    </row>
    <row r="186" spans="1:21" x14ac:dyDescent="0.3">
      <c r="A186" s="11">
        <v>10001376</v>
      </c>
      <c r="B186" s="17" t="s">
        <v>55</v>
      </c>
      <c r="C186" s="18" t="s">
        <v>17</v>
      </c>
      <c r="D186" s="9">
        <v>46196</v>
      </c>
      <c r="E186" s="17" t="s">
        <v>119</v>
      </c>
      <c r="F186" s="12">
        <v>0.34613425925925928</v>
      </c>
      <c r="G186" s="12">
        <v>0.81866898148148148</v>
      </c>
      <c r="H186" s="13">
        <v>11.340833333333332</v>
      </c>
      <c r="I186" s="14">
        <v>9</v>
      </c>
      <c r="J186" s="15">
        <v>2.3408333333333324</v>
      </c>
      <c r="K186" s="17" t="s">
        <v>115</v>
      </c>
      <c r="M186"/>
      <c r="N186"/>
      <c r="P186" s="1"/>
      <c r="U186" s="1"/>
    </row>
    <row r="187" spans="1:21" x14ac:dyDescent="0.3">
      <c r="A187" s="11">
        <v>10001376</v>
      </c>
      <c r="B187" s="17" t="s">
        <v>55</v>
      </c>
      <c r="C187" s="18" t="s">
        <v>17</v>
      </c>
      <c r="D187" s="9">
        <v>46197</v>
      </c>
      <c r="E187" s="17" t="s">
        <v>123</v>
      </c>
      <c r="F187" s="12">
        <v>0.33137731481481481</v>
      </c>
      <c r="G187" s="12">
        <v>0.79114583333333333</v>
      </c>
      <c r="H187" s="13">
        <v>11.034444444444444</v>
      </c>
      <c r="I187" s="14">
        <v>9</v>
      </c>
      <c r="J187" s="15">
        <v>2.0344444444444445</v>
      </c>
      <c r="K187" s="17" t="s">
        <v>115</v>
      </c>
      <c r="M187"/>
      <c r="N187"/>
      <c r="P187" s="1"/>
      <c r="U187" s="1"/>
    </row>
    <row r="188" spans="1:21" x14ac:dyDescent="0.3">
      <c r="A188" s="11">
        <v>10001376</v>
      </c>
      <c r="B188" s="17" t="s">
        <v>55</v>
      </c>
      <c r="C188" s="18" t="s">
        <v>17</v>
      </c>
      <c r="D188" s="9">
        <v>46198</v>
      </c>
      <c r="E188" s="17" t="s">
        <v>124</v>
      </c>
      <c r="F188" s="12">
        <v>0.33957175925925925</v>
      </c>
      <c r="G188" s="12">
        <v>0.73802083333333335</v>
      </c>
      <c r="H188" s="13">
        <v>9.5627777777777787</v>
      </c>
      <c r="I188" s="14">
        <v>9</v>
      </c>
      <c r="J188" s="15">
        <v>0.56277777777777871</v>
      </c>
      <c r="K188" s="17" t="s">
        <v>115</v>
      </c>
      <c r="M188"/>
      <c r="N188"/>
      <c r="P188" s="1"/>
      <c r="U188" s="1"/>
    </row>
    <row r="189" spans="1:21" x14ac:dyDescent="0.3">
      <c r="A189" s="11">
        <v>10001376</v>
      </c>
      <c r="B189" s="17" t="s">
        <v>55</v>
      </c>
      <c r="C189" s="18" t="s">
        <v>17</v>
      </c>
      <c r="D189" s="9">
        <v>46199</v>
      </c>
      <c r="E189" s="17" t="s">
        <v>125</v>
      </c>
      <c r="F189" s="12">
        <v>0.34796296296296297</v>
      </c>
      <c r="G189" s="12">
        <v>0.5983680555555555</v>
      </c>
      <c r="H189" s="13">
        <v>6.0097222222222211</v>
      </c>
      <c r="I189" s="14">
        <v>4</v>
      </c>
      <c r="J189" s="15">
        <v>2.0097222222222211</v>
      </c>
      <c r="K189" s="17" t="s">
        <v>115</v>
      </c>
      <c r="M189"/>
      <c r="N189"/>
      <c r="P189" s="1"/>
      <c r="U189" s="1"/>
    </row>
    <row r="190" spans="1:21" x14ac:dyDescent="0.3">
      <c r="A190" s="11">
        <v>10001376</v>
      </c>
      <c r="B190" s="17" t="s">
        <v>55</v>
      </c>
      <c r="C190" s="18" t="s">
        <v>17</v>
      </c>
      <c r="D190" s="9">
        <v>46200</v>
      </c>
      <c r="E190" s="17" t="s">
        <v>126</v>
      </c>
      <c r="F190" s="12"/>
      <c r="G190" s="12"/>
      <c r="H190" s="13">
        <v>0</v>
      </c>
      <c r="I190" s="14">
        <v>0</v>
      </c>
      <c r="J190" s="15">
        <v>0</v>
      </c>
      <c r="K190" s="17" t="s">
        <v>116</v>
      </c>
      <c r="M190"/>
      <c r="N190"/>
      <c r="P190" s="1"/>
      <c r="U190" s="1"/>
    </row>
    <row r="191" spans="1:21" x14ac:dyDescent="0.3">
      <c r="A191" s="11">
        <v>10001376</v>
      </c>
      <c r="B191" s="17" t="s">
        <v>55</v>
      </c>
      <c r="C191" s="18" t="s">
        <v>17</v>
      </c>
      <c r="D191" s="9">
        <v>46201</v>
      </c>
      <c r="E191" s="17" t="s">
        <v>113</v>
      </c>
      <c r="F191" s="12"/>
      <c r="G191" s="12"/>
      <c r="H191" s="13">
        <v>0</v>
      </c>
      <c r="I191" s="14">
        <v>0</v>
      </c>
      <c r="J191" s="15">
        <v>0</v>
      </c>
      <c r="K191" s="17" t="s">
        <v>116</v>
      </c>
      <c r="M191"/>
      <c r="N191"/>
      <c r="P191" s="1"/>
      <c r="U191" s="1"/>
    </row>
    <row r="192" spans="1:21" x14ac:dyDescent="0.3">
      <c r="A192" s="11">
        <v>10001376</v>
      </c>
      <c r="B192" s="17" t="s">
        <v>55</v>
      </c>
      <c r="C192" s="18" t="s">
        <v>17</v>
      </c>
      <c r="D192" s="9">
        <v>46202</v>
      </c>
      <c r="E192" s="17" t="s">
        <v>118</v>
      </c>
      <c r="F192" s="12">
        <v>0.34516203703703702</v>
      </c>
      <c r="G192" s="12">
        <v>0.80016203703703703</v>
      </c>
      <c r="H192" s="13">
        <v>10.92</v>
      </c>
      <c r="I192" s="14">
        <v>9</v>
      </c>
      <c r="J192" s="15">
        <v>1.92</v>
      </c>
      <c r="K192" s="17" t="s">
        <v>115</v>
      </c>
      <c r="M192"/>
      <c r="N192"/>
      <c r="P192" s="1"/>
      <c r="U192" s="1"/>
    </row>
    <row r="193" spans="1:21" x14ac:dyDescent="0.3">
      <c r="A193" s="11">
        <v>10001557</v>
      </c>
      <c r="B193" s="17" t="s">
        <v>77</v>
      </c>
      <c r="C193" s="18" t="s">
        <v>11</v>
      </c>
      <c r="D193" s="9">
        <v>46194</v>
      </c>
      <c r="E193" s="17" t="s">
        <v>113</v>
      </c>
      <c r="F193" s="12"/>
      <c r="G193" s="12"/>
      <c r="H193" s="13">
        <v>0</v>
      </c>
      <c r="I193" s="14">
        <v>0</v>
      </c>
      <c r="J193" s="15">
        <v>0</v>
      </c>
      <c r="K193" s="17" t="s">
        <v>116</v>
      </c>
      <c r="M193"/>
      <c r="N193"/>
      <c r="P193" s="1"/>
      <c r="U193" s="1"/>
    </row>
    <row r="194" spans="1:21" x14ac:dyDescent="0.3">
      <c r="A194" s="11">
        <v>10001557</v>
      </c>
      <c r="B194" s="17" t="s">
        <v>77</v>
      </c>
      <c r="C194" s="18" t="s">
        <v>11</v>
      </c>
      <c r="D194" s="9">
        <v>46195</v>
      </c>
      <c r="E194" s="17" t="s">
        <v>118</v>
      </c>
      <c r="F194" s="12">
        <v>0.32241898148148146</v>
      </c>
      <c r="G194" s="12">
        <v>0.7779166666666667</v>
      </c>
      <c r="H194" s="13">
        <v>10.931944444444445</v>
      </c>
      <c r="I194" s="14">
        <v>9</v>
      </c>
      <c r="J194" s="15">
        <v>1.9319444444444454</v>
      </c>
      <c r="K194" s="17" t="s">
        <v>115</v>
      </c>
      <c r="M194"/>
      <c r="N194"/>
      <c r="P194" s="1"/>
      <c r="U194" s="1"/>
    </row>
    <row r="195" spans="1:21" x14ac:dyDescent="0.3">
      <c r="A195" s="11">
        <v>10001557</v>
      </c>
      <c r="B195" s="17" t="s">
        <v>77</v>
      </c>
      <c r="C195" s="18" t="s">
        <v>11</v>
      </c>
      <c r="D195" s="9">
        <v>46196</v>
      </c>
      <c r="E195" s="17" t="s">
        <v>119</v>
      </c>
      <c r="F195" s="12">
        <v>0.32243055555555555</v>
      </c>
      <c r="G195" s="12">
        <v>0.7885416666666667</v>
      </c>
      <c r="H195" s="13">
        <v>11.186666666666667</v>
      </c>
      <c r="I195" s="14">
        <v>9</v>
      </c>
      <c r="J195" s="15">
        <v>2.1866666666666674</v>
      </c>
      <c r="K195" s="17" t="s">
        <v>115</v>
      </c>
      <c r="M195"/>
      <c r="N195"/>
      <c r="P195" s="1"/>
      <c r="U195" s="1"/>
    </row>
    <row r="196" spans="1:21" x14ac:dyDescent="0.3">
      <c r="A196" s="11">
        <v>10001557</v>
      </c>
      <c r="B196" s="17" t="s">
        <v>77</v>
      </c>
      <c r="C196" s="18" t="s">
        <v>11</v>
      </c>
      <c r="D196" s="9">
        <v>46197</v>
      </c>
      <c r="E196" s="17" t="s">
        <v>123</v>
      </c>
      <c r="F196" s="12">
        <v>0.3208449074074074</v>
      </c>
      <c r="G196" s="12">
        <v>0.85685185185185186</v>
      </c>
      <c r="H196" s="13">
        <v>12.864166666666666</v>
      </c>
      <c r="I196" s="14">
        <v>9</v>
      </c>
      <c r="J196" s="15">
        <v>3.8641666666666659</v>
      </c>
      <c r="K196" s="17" t="s">
        <v>115</v>
      </c>
      <c r="M196"/>
      <c r="N196"/>
      <c r="P196" s="1"/>
      <c r="U196" s="1"/>
    </row>
    <row r="197" spans="1:21" x14ac:dyDescent="0.3">
      <c r="A197" s="11">
        <v>10001557</v>
      </c>
      <c r="B197" s="17" t="s">
        <v>77</v>
      </c>
      <c r="C197" s="18" t="s">
        <v>11</v>
      </c>
      <c r="D197" s="9">
        <v>46198</v>
      </c>
      <c r="E197" s="17" t="s">
        <v>124</v>
      </c>
      <c r="F197" s="12">
        <v>0.32686342592592593</v>
      </c>
      <c r="G197" s="12">
        <v>0.81461805555555555</v>
      </c>
      <c r="H197" s="13">
        <v>11.706111111111111</v>
      </c>
      <c r="I197" s="14">
        <v>9</v>
      </c>
      <c r="J197" s="15">
        <v>2.7061111111111114</v>
      </c>
      <c r="K197" s="17" t="s">
        <v>115</v>
      </c>
      <c r="M197"/>
      <c r="N197"/>
      <c r="P197" s="1"/>
      <c r="U197" s="1"/>
    </row>
    <row r="198" spans="1:21" x14ac:dyDescent="0.3">
      <c r="A198" s="11">
        <v>10001557</v>
      </c>
      <c r="B198" s="17" t="s">
        <v>77</v>
      </c>
      <c r="C198" s="18" t="s">
        <v>11</v>
      </c>
      <c r="D198" s="9">
        <v>46199</v>
      </c>
      <c r="E198" s="17" t="s">
        <v>125</v>
      </c>
      <c r="F198" s="12">
        <v>0.32707175925925924</v>
      </c>
      <c r="G198" s="12">
        <v>0.58318287037037042</v>
      </c>
      <c r="H198" s="13">
        <v>6.1466666666666683</v>
      </c>
      <c r="I198" s="14">
        <v>4</v>
      </c>
      <c r="J198" s="15">
        <v>2.1466666666666683</v>
      </c>
      <c r="K198" s="17" t="s">
        <v>115</v>
      </c>
      <c r="M198"/>
      <c r="N198"/>
      <c r="P198" s="1"/>
      <c r="U198" s="1"/>
    </row>
    <row r="199" spans="1:21" x14ac:dyDescent="0.3">
      <c r="A199" s="11">
        <v>10001557</v>
      </c>
      <c r="B199" s="17" t="s">
        <v>77</v>
      </c>
      <c r="C199" s="18" t="s">
        <v>11</v>
      </c>
      <c r="D199" s="9">
        <v>46200</v>
      </c>
      <c r="E199" s="17" t="s">
        <v>126</v>
      </c>
      <c r="F199" s="12"/>
      <c r="G199" s="12"/>
      <c r="H199" s="13">
        <v>0</v>
      </c>
      <c r="I199" s="14">
        <v>0</v>
      </c>
      <c r="J199" s="15">
        <v>0</v>
      </c>
      <c r="K199" s="17" t="s">
        <v>116</v>
      </c>
      <c r="M199"/>
      <c r="N199"/>
      <c r="P199" s="1"/>
      <c r="U199" s="1"/>
    </row>
    <row r="200" spans="1:21" x14ac:dyDescent="0.3">
      <c r="A200" s="11">
        <v>10001557</v>
      </c>
      <c r="B200" s="17" t="s">
        <v>77</v>
      </c>
      <c r="C200" s="18" t="s">
        <v>11</v>
      </c>
      <c r="D200" s="9">
        <v>46201</v>
      </c>
      <c r="E200" s="17" t="s">
        <v>113</v>
      </c>
      <c r="F200" s="12"/>
      <c r="G200" s="12"/>
      <c r="H200" s="13">
        <v>0</v>
      </c>
      <c r="I200" s="14">
        <v>0</v>
      </c>
      <c r="J200" s="15">
        <v>0</v>
      </c>
      <c r="K200" s="17" t="s">
        <v>116</v>
      </c>
      <c r="M200"/>
      <c r="N200"/>
      <c r="P200" s="1"/>
      <c r="U200" s="1"/>
    </row>
    <row r="201" spans="1:21" x14ac:dyDescent="0.3">
      <c r="A201" s="11">
        <v>10001557</v>
      </c>
      <c r="B201" s="17" t="s">
        <v>77</v>
      </c>
      <c r="C201" s="18" t="s">
        <v>11</v>
      </c>
      <c r="D201" s="9">
        <v>46202</v>
      </c>
      <c r="E201" s="17" t="s">
        <v>118</v>
      </c>
      <c r="F201" s="12">
        <v>0.32555555555555554</v>
      </c>
      <c r="G201" s="12">
        <v>0.74849537037037039</v>
      </c>
      <c r="H201" s="13">
        <v>10.150555555555556</v>
      </c>
      <c r="I201" s="14">
        <v>9</v>
      </c>
      <c r="J201" s="15">
        <v>1.150555555555556</v>
      </c>
      <c r="K201" s="17" t="s">
        <v>115</v>
      </c>
      <c r="M201"/>
      <c r="N201"/>
      <c r="P201" s="1"/>
      <c r="U201" s="1"/>
    </row>
    <row r="202" spans="1:21" x14ac:dyDescent="0.3">
      <c r="A202" s="11">
        <v>10001574</v>
      </c>
      <c r="B202" s="17" t="s">
        <v>49</v>
      </c>
      <c r="C202" s="18" t="s">
        <v>11</v>
      </c>
      <c r="D202" s="9">
        <v>46194</v>
      </c>
      <c r="E202" s="17" t="s">
        <v>113</v>
      </c>
      <c r="F202" s="12">
        <v>0.45166666666666666</v>
      </c>
      <c r="G202" s="12">
        <v>0.45166666666666666</v>
      </c>
      <c r="H202" s="13">
        <v>0</v>
      </c>
      <c r="I202" s="14">
        <v>0</v>
      </c>
      <c r="J202" s="15">
        <v>0</v>
      </c>
      <c r="K202" s="17" t="s">
        <v>114</v>
      </c>
      <c r="M202"/>
      <c r="N202"/>
      <c r="P202" s="1"/>
      <c r="U202" s="1"/>
    </row>
    <row r="203" spans="1:21" x14ac:dyDescent="0.3">
      <c r="A203" s="11">
        <v>10001574</v>
      </c>
      <c r="B203" s="17" t="s">
        <v>49</v>
      </c>
      <c r="C203" s="18" t="s">
        <v>11</v>
      </c>
      <c r="D203" s="9">
        <v>46195</v>
      </c>
      <c r="E203" s="17" t="s">
        <v>118</v>
      </c>
      <c r="F203" s="12">
        <v>0.36292824074074076</v>
      </c>
      <c r="G203" s="12">
        <v>0.36292824074074076</v>
      </c>
      <c r="H203" s="13">
        <v>0</v>
      </c>
      <c r="I203" s="14">
        <v>9</v>
      </c>
      <c r="J203" s="15">
        <v>-9</v>
      </c>
      <c r="K203" s="17" t="s">
        <v>115</v>
      </c>
      <c r="M203"/>
      <c r="N203"/>
      <c r="P203" s="1"/>
      <c r="U203" s="1"/>
    </row>
    <row r="204" spans="1:21" x14ac:dyDescent="0.3">
      <c r="A204" s="11">
        <v>10001574</v>
      </c>
      <c r="B204" s="17" t="s">
        <v>49</v>
      </c>
      <c r="C204" s="18" t="s">
        <v>11</v>
      </c>
      <c r="D204" s="9">
        <v>46196</v>
      </c>
      <c r="E204" s="17" t="s">
        <v>119</v>
      </c>
      <c r="F204" s="12">
        <v>0.3832638888888889</v>
      </c>
      <c r="G204" s="12">
        <v>0.3832638888888889</v>
      </c>
      <c r="H204" s="13">
        <v>0</v>
      </c>
      <c r="I204" s="14">
        <v>9</v>
      </c>
      <c r="J204" s="15">
        <v>-9</v>
      </c>
      <c r="K204" s="17" t="s">
        <v>115</v>
      </c>
      <c r="M204"/>
      <c r="N204"/>
      <c r="P204" s="1"/>
      <c r="U204" s="1"/>
    </row>
    <row r="205" spans="1:21" x14ac:dyDescent="0.3">
      <c r="A205" s="11">
        <v>10001574</v>
      </c>
      <c r="B205" s="17" t="s">
        <v>49</v>
      </c>
      <c r="C205" s="18" t="s">
        <v>11</v>
      </c>
      <c r="D205" s="9">
        <v>46197</v>
      </c>
      <c r="E205" s="17" t="s">
        <v>123</v>
      </c>
      <c r="F205" s="12">
        <v>0.36680555555555555</v>
      </c>
      <c r="G205" s="12">
        <v>0.36680555555555555</v>
      </c>
      <c r="H205" s="13">
        <v>0</v>
      </c>
      <c r="I205" s="14">
        <v>9</v>
      </c>
      <c r="J205" s="15">
        <v>-9</v>
      </c>
      <c r="K205" s="17" t="s">
        <v>115</v>
      </c>
      <c r="M205"/>
      <c r="N205"/>
      <c r="P205" s="1"/>
      <c r="U205" s="1"/>
    </row>
    <row r="206" spans="1:21" x14ac:dyDescent="0.3">
      <c r="A206" s="11">
        <v>10001574</v>
      </c>
      <c r="B206" s="17" t="s">
        <v>49</v>
      </c>
      <c r="C206" s="18" t="s">
        <v>11</v>
      </c>
      <c r="D206" s="9">
        <v>46198</v>
      </c>
      <c r="E206" s="17" t="s">
        <v>124</v>
      </c>
      <c r="F206" s="12">
        <v>0.36475694444444445</v>
      </c>
      <c r="G206" s="12">
        <v>0.36475694444444445</v>
      </c>
      <c r="H206" s="13">
        <v>0</v>
      </c>
      <c r="I206" s="14">
        <v>9</v>
      </c>
      <c r="J206" s="15">
        <v>-9</v>
      </c>
      <c r="K206" s="17" t="s">
        <v>115</v>
      </c>
      <c r="M206"/>
      <c r="N206"/>
      <c r="P206" s="1"/>
      <c r="U206" s="1"/>
    </row>
    <row r="207" spans="1:21" x14ac:dyDescent="0.3">
      <c r="A207" s="11">
        <v>10001574</v>
      </c>
      <c r="B207" s="17" t="s">
        <v>49</v>
      </c>
      <c r="C207" s="18" t="s">
        <v>11</v>
      </c>
      <c r="D207" s="9">
        <v>46199</v>
      </c>
      <c r="E207" s="17" t="s">
        <v>125</v>
      </c>
      <c r="F207" s="12">
        <v>0.3862962962962963</v>
      </c>
      <c r="G207" s="12">
        <v>0.3862962962962963</v>
      </c>
      <c r="H207" s="13">
        <v>0</v>
      </c>
      <c r="I207" s="14">
        <v>4</v>
      </c>
      <c r="J207" s="15">
        <v>-4</v>
      </c>
      <c r="K207" s="17" t="s">
        <v>115</v>
      </c>
      <c r="M207"/>
      <c r="N207"/>
      <c r="P207" s="1"/>
      <c r="U207" s="1"/>
    </row>
    <row r="208" spans="1:21" x14ac:dyDescent="0.3">
      <c r="A208" s="11">
        <v>10001574</v>
      </c>
      <c r="B208" s="17" t="s">
        <v>49</v>
      </c>
      <c r="C208" s="18" t="s">
        <v>11</v>
      </c>
      <c r="D208" s="9">
        <v>46200</v>
      </c>
      <c r="E208" s="17" t="s">
        <v>126</v>
      </c>
      <c r="F208" s="12"/>
      <c r="G208" s="12"/>
      <c r="H208" s="13">
        <v>0</v>
      </c>
      <c r="I208" s="14">
        <v>0</v>
      </c>
      <c r="J208" s="15">
        <v>0</v>
      </c>
      <c r="K208" s="17" t="s">
        <v>116</v>
      </c>
      <c r="M208"/>
      <c r="N208"/>
      <c r="P208" s="1"/>
      <c r="U208" s="1"/>
    </row>
    <row r="209" spans="1:21" x14ac:dyDescent="0.3">
      <c r="A209" s="11">
        <v>10001574</v>
      </c>
      <c r="B209" s="17" t="s">
        <v>49</v>
      </c>
      <c r="C209" s="18" t="s">
        <v>11</v>
      </c>
      <c r="D209" s="9">
        <v>46201</v>
      </c>
      <c r="E209" s="17" t="s">
        <v>113</v>
      </c>
      <c r="F209" s="12"/>
      <c r="G209" s="12"/>
      <c r="H209" s="13">
        <v>0</v>
      </c>
      <c r="I209" s="14">
        <v>0</v>
      </c>
      <c r="J209" s="15">
        <v>0</v>
      </c>
      <c r="K209" s="17" t="s">
        <v>116</v>
      </c>
      <c r="M209"/>
      <c r="N209"/>
      <c r="P209" s="1"/>
      <c r="U209" s="1"/>
    </row>
    <row r="210" spans="1:21" x14ac:dyDescent="0.3">
      <c r="A210" s="11">
        <v>10001574</v>
      </c>
      <c r="B210" s="17" t="s">
        <v>49</v>
      </c>
      <c r="C210" s="18" t="s">
        <v>11</v>
      </c>
      <c r="D210" s="9">
        <v>46202</v>
      </c>
      <c r="E210" s="17" t="s">
        <v>118</v>
      </c>
      <c r="F210" s="12">
        <v>0.37158564814814815</v>
      </c>
      <c r="G210" s="12">
        <v>0.37158564814814815</v>
      </c>
      <c r="H210" s="13">
        <v>0</v>
      </c>
      <c r="I210" s="14">
        <v>9</v>
      </c>
      <c r="J210" s="15">
        <v>-9</v>
      </c>
      <c r="K210" s="17" t="s">
        <v>115</v>
      </c>
      <c r="M210"/>
      <c r="N210"/>
      <c r="P210" s="1"/>
      <c r="U210" s="1"/>
    </row>
    <row r="211" spans="1:21" x14ac:dyDescent="0.3">
      <c r="A211" s="11">
        <v>10001590</v>
      </c>
      <c r="B211" s="17" t="s">
        <v>51</v>
      </c>
      <c r="C211" s="18" t="s">
        <v>11</v>
      </c>
      <c r="D211" s="9">
        <v>46194</v>
      </c>
      <c r="E211" s="17" t="s">
        <v>113</v>
      </c>
      <c r="F211" s="12"/>
      <c r="G211" s="12"/>
      <c r="H211" s="13">
        <v>0</v>
      </c>
      <c r="I211" s="14">
        <v>0</v>
      </c>
      <c r="J211" s="15">
        <v>0</v>
      </c>
      <c r="K211" s="17" t="s">
        <v>116</v>
      </c>
      <c r="M211"/>
      <c r="N211"/>
      <c r="P211" s="1"/>
      <c r="U211" s="1"/>
    </row>
    <row r="212" spans="1:21" x14ac:dyDescent="0.3">
      <c r="A212" s="11">
        <v>10001590</v>
      </c>
      <c r="B212" s="17" t="s">
        <v>51</v>
      </c>
      <c r="C212" s="18" t="s">
        <v>11</v>
      </c>
      <c r="D212" s="9">
        <v>46195</v>
      </c>
      <c r="E212" s="17" t="s">
        <v>118</v>
      </c>
      <c r="F212" s="12">
        <v>0.32740740740740742</v>
      </c>
      <c r="G212" s="12">
        <v>0.71486111111111106</v>
      </c>
      <c r="H212" s="13">
        <v>9.2988888888888876</v>
      </c>
      <c r="I212" s="14">
        <v>9</v>
      </c>
      <c r="J212" s="15">
        <v>0.29888888888888765</v>
      </c>
      <c r="K212" s="17" t="s">
        <v>115</v>
      </c>
      <c r="M212"/>
      <c r="N212"/>
      <c r="P212" s="1"/>
      <c r="U212" s="1"/>
    </row>
    <row r="213" spans="1:21" x14ac:dyDescent="0.3">
      <c r="A213" s="11">
        <v>10001590</v>
      </c>
      <c r="B213" s="17" t="s">
        <v>51</v>
      </c>
      <c r="C213" s="18" t="s">
        <v>11</v>
      </c>
      <c r="D213" s="9">
        <v>46196</v>
      </c>
      <c r="E213" s="17" t="s">
        <v>119</v>
      </c>
      <c r="F213" s="12"/>
      <c r="G213" s="12"/>
      <c r="H213" s="13">
        <v>0</v>
      </c>
      <c r="I213" s="14">
        <v>9</v>
      </c>
      <c r="J213" s="15">
        <v>-9</v>
      </c>
      <c r="K213" s="17" t="s">
        <v>68</v>
      </c>
      <c r="M213"/>
      <c r="N213"/>
      <c r="P213" s="1"/>
      <c r="U213" s="1"/>
    </row>
    <row r="214" spans="1:21" x14ac:dyDescent="0.3">
      <c r="A214" s="11">
        <v>10001590</v>
      </c>
      <c r="B214" s="17" t="s">
        <v>51</v>
      </c>
      <c r="C214" s="18" t="s">
        <v>11</v>
      </c>
      <c r="D214" s="9">
        <v>46197</v>
      </c>
      <c r="E214" s="17" t="s">
        <v>123</v>
      </c>
      <c r="F214" s="12">
        <v>0.32766203703703706</v>
      </c>
      <c r="G214" s="12">
        <v>0.71091435185185181</v>
      </c>
      <c r="H214" s="13">
        <v>9.1980555555555537</v>
      </c>
      <c r="I214" s="14">
        <v>9</v>
      </c>
      <c r="J214" s="15">
        <v>0.19805555555555365</v>
      </c>
      <c r="K214" s="17" t="s">
        <v>115</v>
      </c>
      <c r="M214"/>
      <c r="N214"/>
      <c r="P214" s="1"/>
      <c r="U214" s="1"/>
    </row>
    <row r="215" spans="1:21" x14ac:dyDescent="0.3">
      <c r="A215" s="11">
        <v>10001590</v>
      </c>
      <c r="B215" s="17" t="s">
        <v>51</v>
      </c>
      <c r="C215" s="18" t="s">
        <v>11</v>
      </c>
      <c r="D215" s="9">
        <v>46198</v>
      </c>
      <c r="E215" s="17" t="s">
        <v>124</v>
      </c>
      <c r="F215" s="12">
        <v>0.32843749999999999</v>
      </c>
      <c r="G215" s="12">
        <v>0.71364583333333331</v>
      </c>
      <c r="H215" s="13">
        <v>9.2449999999999992</v>
      </c>
      <c r="I215" s="14">
        <v>9</v>
      </c>
      <c r="J215" s="15">
        <v>0.24499999999999922</v>
      </c>
      <c r="K215" s="17" t="s">
        <v>115</v>
      </c>
      <c r="M215"/>
      <c r="N215"/>
      <c r="P215" s="1"/>
      <c r="U215" s="1"/>
    </row>
    <row r="216" spans="1:21" x14ac:dyDescent="0.3">
      <c r="A216" s="11">
        <v>10001590</v>
      </c>
      <c r="B216" s="17" t="s">
        <v>51</v>
      </c>
      <c r="C216" s="18" t="s">
        <v>11</v>
      </c>
      <c r="D216" s="9">
        <v>46199</v>
      </c>
      <c r="E216" s="17" t="s">
        <v>125</v>
      </c>
      <c r="F216" s="12">
        <v>0.33054398148148151</v>
      </c>
      <c r="G216" s="12">
        <v>0.50708333333333333</v>
      </c>
      <c r="H216" s="13">
        <v>4.2369444444444433</v>
      </c>
      <c r="I216" s="14">
        <v>4</v>
      </c>
      <c r="J216" s="15">
        <v>0.23694444444444329</v>
      </c>
      <c r="K216" s="17" t="s">
        <v>115</v>
      </c>
      <c r="M216"/>
      <c r="N216"/>
      <c r="P216" s="1"/>
      <c r="U216" s="1"/>
    </row>
    <row r="217" spans="1:21" x14ac:dyDescent="0.3">
      <c r="A217" s="11">
        <v>10001590</v>
      </c>
      <c r="B217" s="17" t="s">
        <v>51</v>
      </c>
      <c r="C217" s="18" t="s">
        <v>11</v>
      </c>
      <c r="D217" s="9">
        <v>46200</v>
      </c>
      <c r="E217" s="17" t="s">
        <v>126</v>
      </c>
      <c r="F217" s="12"/>
      <c r="G217" s="12"/>
      <c r="H217" s="13">
        <v>0</v>
      </c>
      <c r="I217" s="14">
        <v>0</v>
      </c>
      <c r="J217" s="15">
        <v>0</v>
      </c>
      <c r="K217" s="17" t="s">
        <v>116</v>
      </c>
      <c r="M217"/>
      <c r="N217"/>
      <c r="P217" s="1"/>
      <c r="U217" s="1"/>
    </row>
    <row r="218" spans="1:21" x14ac:dyDescent="0.3">
      <c r="A218" s="11">
        <v>10001590</v>
      </c>
      <c r="B218" s="17" t="s">
        <v>51</v>
      </c>
      <c r="C218" s="18" t="s">
        <v>11</v>
      </c>
      <c r="D218" s="9">
        <v>46201</v>
      </c>
      <c r="E218" s="17" t="s">
        <v>113</v>
      </c>
      <c r="F218" s="12"/>
      <c r="G218" s="12"/>
      <c r="H218" s="13">
        <v>0</v>
      </c>
      <c r="I218" s="14">
        <v>0</v>
      </c>
      <c r="J218" s="15">
        <v>0</v>
      </c>
      <c r="K218" s="17" t="s">
        <v>116</v>
      </c>
      <c r="M218"/>
      <c r="N218"/>
      <c r="P218" s="1"/>
      <c r="U218" s="1"/>
    </row>
    <row r="219" spans="1:21" x14ac:dyDescent="0.3">
      <c r="A219" s="11">
        <v>10001590</v>
      </c>
      <c r="B219" s="17" t="s">
        <v>51</v>
      </c>
      <c r="C219" s="18" t="s">
        <v>11</v>
      </c>
      <c r="D219" s="9">
        <v>46202</v>
      </c>
      <c r="E219" s="17" t="s">
        <v>118</v>
      </c>
      <c r="F219" s="12">
        <v>0.3283564814814815</v>
      </c>
      <c r="G219" s="12">
        <v>0.7107175925925926</v>
      </c>
      <c r="H219" s="13">
        <v>9.1766666666666659</v>
      </c>
      <c r="I219" s="14">
        <v>9</v>
      </c>
      <c r="J219" s="15">
        <v>0.17666666666666586</v>
      </c>
      <c r="K219" s="17" t="s">
        <v>115</v>
      </c>
      <c r="M219"/>
      <c r="N219"/>
      <c r="P219" s="1"/>
      <c r="U219" s="1"/>
    </row>
    <row r="220" spans="1:21" x14ac:dyDescent="0.3">
      <c r="A220" s="11">
        <v>10001592</v>
      </c>
      <c r="B220" s="17" t="s">
        <v>38</v>
      </c>
      <c r="C220" s="18" t="s">
        <v>11</v>
      </c>
      <c r="D220" s="9">
        <v>46194</v>
      </c>
      <c r="E220" s="17" t="s">
        <v>113</v>
      </c>
      <c r="F220" s="12"/>
      <c r="G220" s="12"/>
      <c r="H220" s="13">
        <v>0</v>
      </c>
      <c r="I220" s="14">
        <v>0</v>
      </c>
      <c r="J220" s="15">
        <v>0</v>
      </c>
      <c r="K220" s="17" t="s">
        <v>116</v>
      </c>
      <c r="M220"/>
      <c r="N220"/>
      <c r="P220" s="1"/>
      <c r="U220" s="1"/>
    </row>
    <row r="221" spans="1:21" x14ac:dyDescent="0.3">
      <c r="A221" s="11">
        <v>10001592</v>
      </c>
      <c r="B221" s="17" t="s">
        <v>38</v>
      </c>
      <c r="C221" s="18" t="s">
        <v>11</v>
      </c>
      <c r="D221" s="9">
        <v>46195</v>
      </c>
      <c r="E221" s="17" t="s">
        <v>118</v>
      </c>
      <c r="F221" s="12"/>
      <c r="G221" s="12"/>
      <c r="H221" s="13">
        <v>0</v>
      </c>
      <c r="I221" s="14">
        <v>9</v>
      </c>
      <c r="J221" s="15">
        <v>-9</v>
      </c>
      <c r="K221" s="17" t="s">
        <v>68</v>
      </c>
      <c r="M221"/>
      <c r="N221"/>
      <c r="P221" s="1"/>
      <c r="U221" s="1"/>
    </row>
    <row r="222" spans="1:21" x14ac:dyDescent="0.3">
      <c r="A222" s="11">
        <v>10001592</v>
      </c>
      <c r="B222" s="17" t="s">
        <v>38</v>
      </c>
      <c r="C222" s="18" t="s">
        <v>11</v>
      </c>
      <c r="D222" s="9">
        <v>46196</v>
      </c>
      <c r="E222" s="17" t="s">
        <v>119</v>
      </c>
      <c r="F222" s="12"/>
      <c r="G222" s="12"/>
      <c r="H222" s="13">
        <v>0</v>
      </c>
      <c r="I222" s="14">
        <v>9</v>
      </c>
      <c r="J222" s="15">
        <v>-9</v>
      </c>
      <c r="K222" s="17" t="s">
        <v>68</v>
      </c>
      <c r="M222"/>
      <c r="N222"/>
      <c r="P222" s="1"/>
      <c r="U222" s="1"/>
    </row>
    <row r="223" spans="1:21" x14ac:dyDescent="0.3">
      <c r="A223" s="11">
        <v>10001592</v>
      </c>
      <c r="B223" s="17" t="s">
        <v>38</v>
      </c>
      <c r="C223" s="18" t="s">
        <v>11</v>
      </c>
      <c r="D223" s="9">
        <v>46197</v>
      </c>
      <c r="E223" s="17" t="s">
        <v>123</v>
      </c>
      <c r="F223" s="12"/>
      <c r="G223" s="12"/>
      <c r="H223" s="13">
        <v>0</v>
      </c>
      <c r="I223" s="14">
        <v>9</v>
      </c>
      <c r="J223" s="15">
        <v>-9</v>
      </c>
      <c r="K223" s="17" t="s">
        <v>68</v>
      </c>
      <c r="M223"/>
      <c r="N223"/>
      <c r="P223" s="1"/>
      <c r="U223" s="1"/>
    </row>
    <row r="224" spans="1:21" x14ac:dyDescent="0.3">
      <c r="A224" s="11">
        <v>10001592</v>
      </c>
      <c r="B224" s="17" t="s">
        <v>38</v>
      </c>
      <c r="C224" s="18" t="s">
        <v>11</v>
      </c>
      <c r="D224" s="9">
        <v>46198</v>
      </c>
      <c r="E224" s="17" t="s">
        <v>124</v>
      </c>
      <c r="F224" s="12"/>
      <c r="G224" s="12"/>
      <c r="H224" s="13">
        <v>0</v>
      </c>
      <c r="I224" s="14">
        <v>9</v>
      </c>
      <c r="J224" s="15">
        <v>-9</v>
      </c>
      <c r="K224" s="17" t="s">
        <v>68</v>
      </c>
      <c r="M224"/>
      <c r="N224"/>
      <c r="P224" s="1"/>
      <c r="U224" s="1"/>
    </row>
    <row r="225" spans="1:21" x14ac:dyDescent="0.3">
      <c r="A225" s="11">
        <v>10001592</v>
      </c>
      <c r="B225" s="17" t="s">
        <v>38</v>
      </c>
      <c r="C225" s="18" t="s">
        <v>11</v>
      </c>
      <c r="D225" s="9">
        <v>46199</v>
      </c>
      <c r="E225" s="17" t="s">
        <v>125</v>
      </c>
      <c r="F225" s="12"/>
      <c r="G225" s="12"/>
      <c r="H225" s="13">
        <v>0</v>
      </c>
      <c r="I225" s="14">
        <v>4</v>
      </c>
      <c r="J225" s="15">
        <v>-4</v>
      </c>
      <c r="K225" s="17" t="s">
        <v>68</v>
      </c>
      <c r="M225"/>
      <c r="N225"/>
      <c r="P225" s="1"/>
      <c r="U225" s="1"/>
    </row>
    <row r="226" spans="1:21" x14ac:dyDescent="0.3">
      <c r="A226" s="11">
        <v>10001592</v>
      </c>
      <c r="B226" s="17" t="s">
        <v>38</v>
      </c>
      <c r="C226" s="18" t="s">
        <v>11</v>
      </c>
      <c r="D226" s="9">
        <v>46200</v>
      </c>
      <c r="E226" s="17" t="s">
        <v>126</v>
      </c>
      <c r="F226" s="12"/>
      <c r="G226" s="12"/>
      <c r="H226" s="13">
        <v>0</v>
      </c>
      <c r="I226" s="14">
        <v>0</v>
      </c>
      <c r="J226" s="15">
        <v>0</v>
      </c>
      <c r="K226" s="17" t="s">
        <v>116</v>
      </c>
      <c r="M226"/>
      <c r="N226"/>
      <c r="P226" s="1"/>
      <c r="U226" s="1"/>
    </row>
    <row r="227" spans="1:21" x14ac:dyDescent="0.3">
      <c r="A227" s="11">
        <v>10001592</v>
      </c>
      <c r="B227" s="17" t="s">
        <v>38</v>
      </c>
      <c r="C227" s="18" t="s">
        <v>11</v>
      </c>
      <c r="D227" s="9">
        <v>46201</v>
      </c>
      <c r="E227" s="17" t="s">
        <v>113</v>
      </c>
      <c r="F227" s="12"/>
      <c r="G227" s="12"/>
      <c r="H227" s="13">
        <v>0</v>
      </c>
      <c r="I227" s="14">
        <v>0</v>
      </c>
      <c r="J227" s="15">
        <v>0</v>
      </c>
      <c r="K227" s="17" t="s">
        <v>116</v>
      </c>
      <c r="M227"/>
      <c r="N227"/>
      <c r="P227" s="1"/>
      <c r="U227" s="1"/>
    </row>
    <row r="228" spans="1:21" x14ac:dyDescent="0.3">
      <c r="A228" s="11">
        <v>10001771</v>
      </c>
      <c r="B228" s="17" t="s">
        <v>32</v>
      </c>
      <c r="C228" s="18" t="s">
        <v>17</v>
      </c>
      <c r="D228" s="9">
        <v>46194</v>
      </c>
      <c r="E228" s="17" t="s">
        <v>113</v>
      </c>
      <c r="F228" s="12"/>
      <c r="G228" s="12"/>
      <c r="H228" s="13">
        <v>0</v>
      </c>
      <c r="I228" s="14">
        <v>0</v>
      </c>
      <c r="J228" s="15">
        <v>0</v>
      </c>
      <c r="K228" s="17" t="s">
        <v>116</v>
      </c>
      <c r="M228"/>
      <c r="N228"/>
      <c r="P228" s="1"/>
      <c r="U228" s="1"/>
    </row>
    <row r="229" spans="1:21" x14ac:dyDescent="0.3">
      <c r="A229" s="11">
        <v>10001771</v>
      </c>
      <c r="B229" s="17" t="s">
        <v>32</v>
      </c>
      <c r="C229" s="18" t="s">
        <v>17</v>
      </c>
      <c r="D229" s="9">
        <v>46195</v>
      </c>
      <c r="E229" s="17" t="s">
        <v>118</v>
      </c>
      <c r="F229" s="12">
        <v>0.62976851851851856</v>
      </c>
      <c r="G229" s="12">
        <v>0.62976851851851856</v>
      </c>
      <c r="H229" s="13">
        <v>0</v>
      </c>
      <c r="I229" s="14">
        <v>9</v>
      </c>
      <c r="J229" s="15">
        <v>-9</v>
      </c>
      <c r="K229" s="17" t="s">
        <v>67</v>
      </c>
      <c r="M229"/>
      <c r="N229"/>
      <c r="P229" s="1"/>
      <c r="U229" s="1"/>
    </row>
    <row r="230" spans="1:21" x14ac:dyDescent="0.3">
      <c r="A230" s="11">
        <v>10001771</v>
      </c>
      <c r="B230" s="17" t="s">
        <v>32</v>
      </c>
      <c r="C230" s="18" t="s">
        <v>17</v>
      </c>
      <c r="D230" s="9">
        <v>46196</v>
      </c>
      <c r="E230" s="17" t="s">
        <v>119</v>
      </c>
      <c r="F230" s="12">
        <v>0.38296296296296295</v>
      </c>
      <c r="G230" s="12">
        <v>0.65516203703703701</v>
      </c>
      <c r="H230" s="13">
        <v>6.5327777777777776</v>
      </c>
      <c r="I230" s="14">
        <v>9</v>
      </c>
      <c r="J230" s="15">
        <v>-2.4672222222222224</v>
      </c>
      <c r="K230" s="17" t="s">
        <v>122</v>
      </c>
      <c r="M230"/>
      <c r="N230"/>
      <c r="P230" s="1"/>
      <c r="U230" s="1"/>
    </row>
    <row r="231" spans="1:21" x14ac:dyDescent="0.3">
      <c r="A231" s="11">
        <v>10001771</v>
      </c>
      <c r="B231" s="17" t="s">
        <v>32</v>
      </c>
      <c r="C231" s="18" t="s">
        <v>17</v>
      </c>
      <c r="D231" s="9">
        <v>46197</v>
      </c>
      <c r="E231" s="17" t="s">
        <v>123</v>
      </c>
      <c r="F231" s="12">
        <v>0.39048611111111109</v>
      </c>
      <c r="G231" s="12">
        <v>0.64787037037037032</v>
      </c>
      <c r="H231" s="13">
        <v>6.1772222222222215</v>
      </c>
      <c r="I231" s="14">
        <v>9</v>
      </c>
      <c r="J231" s="15">
        <v>-2.8227777777777785</v>
      </c>
      <c r="K231" s="17" t="s">
        <v>122</v>
      </c>
      <c r="M231"/>
      <c r="N231"/>
      <c r="P231" s="1"/>
      <c r="U231" s="1"/>
    </row>
    <row r="232" spans="1:21" x14ac:dyDescent="0.3">
      <c r="A232" s="11">
        <v>10001771</v>
      </c>
      <c r="B232" s="17" t="s">
        <v>32</v>
      </c>
      <c r="C232" s="18" t="s">
        <v>17</v>
      </c>
      <c r="D232" s="9">
        <v>46198</v>
      </c>
      <c r="E232" s="17" t="s">
        <v>124</v>
      </c>
      <c r="F232" s="12">
        <v>0.39016203703703706</v>
      </c>
      <c r="G232" s="12">
        <v>0.60363425925925929</v>
      </c>
      <c r="H232" s="13">
        <v>5.1233333333333331</v>
      </c>
      <c r="I232" s="14">
        <v>9</v>
      </c>
      <c r="J232" s="15">
        <v>-3.8766666666666669</v>
      </c>
      <c r="K232" s="17" t="s">
        <v>122</v>
      </c>
      <c r="M232"/>
      <c r="N232"/>
      <c r="P232" s="1"/>
      <c r="U232" s="1"/>
    </row>
    <row r="233" spans="1:21" x14ac:dyDescent="0.3">
      <c r="A233" s="11">
        <v>10001771</v>
      </c>
      <c r="B233" s="17" t="s">
        <v>32</v>
      </c>
      <c r="C233" s="18" t="s">
        <v>17</v>
      </c>
      <c r="D233" s="9">
        <v>46199</v>
      </c>
      <c r="E233" s="17" t="s">
        <v>125</v>
      </c>
      <c r="F233" s="12"/>
      <c r="G233" s="12"/>
      <c r="H233" s="13">
        <v>0</v>
      </c>
      <c r="I233" s="14">
        <v>0</v>
      </c>
      <c r="J233" s="15">
        <v>0</v>
      </c>
      <c r="K233" s="17" t="s">
        <v>129</v>
      </c>
      <c r="M233"/>
      <c r="N233"/>
      <c r="P233" s="1"/>
      <c r="U233" s="1"/>
    </row>
    <row r="234" spans="1:21" x14ac:dyDescent="0.3">
      <c r="A234" s="11">
        <v>10001771</v>
      </c>
      <c r="B234" s="17" t="s">
        <v>32</v>
      </c>
      <c r="C234" s="18" t="s">
        <v>17</v>
      </c>
      <c r="D234" s="9">
        <v>46200</v>
      </c>
      <c r="E234" s="17" t="s">
        <v>126</v>
      </c>
      <c r="F234" s="12"/>
      <c r="G234" s="12"/>
      <c r="H234" s="13">
        <v>0</v>
      </c>
      <c r="I234" s="14">
        <v>0</v>
      </c>
      <c r="J234" s="15">
        <v>0</v>
      </c>
      <c r="K234" s="17" t="s">
        <v>129</v>
      </c>
      <c r="M234"/>
      <c r="N234"/>
      <c r="P234" s="1"/>
      <c r="U234" s="1"/>
    </row>
    <row r="235" spans="1:21" x14ac:dyDescent="0.3">
      <c r="A235" s="11">
        <v>10001771</v>
      </c>
      <c r="B235" s="17" t="s">
        <v>32</v>
      </c>
      <c r="C235" s="18" t="s">
        <v>17</v>
      </c>
      <c r="D235" s="9">
        <v>46201</v>
      </c>
      <c r="E235" s="17" t="s">
        <v>113</v>
      </c>
      <c r="F235" s="12"/>
      <c r="G235" s="12"/>
      <c r="H235" s="13">
        <v>0</v>
      </c>
      <c r="I235" s="14">
        <v>0</v>
      </c>
      <c r="J235" s="15">
        <v>0</v>
      </c>
      <c r="K235" s="17" t="s">
        <v>129</v>
      </c>
      <c r="M235"/>
      <c r="N235"/>
      <c r="P235" s="1"/>
      <c r="U235" s="1"/>
    </row>
    <row r="236" spans="1:21" x14ac:dyDescent="0.3">
      <c r="A236" s="11">
        <v>10001771</v>
      </c>
      <c r="B236" s="17" t="s">
        <v>32</v>
      </c>
      <c r="C236" s="18" t="s">
        <v>17</v>
      </c>
      <c r="D236" s="9">
        <v>46202</v>
      </c>
      <c r="E236" s="17" t="s">
        <v>118</v>
      </c>
      <c r="F236" s="12"/>
      <c r="G236" s="12"/>
      <c r="H236" s="13">
        <v>0</v>
      </c>
      <c r="I236" s="14">
        <v>0</v>
      </c>
      <c r="J236" s="15">
        <v>0</v>
      </c>
      <c r="K236" s="17" t="s">
        <v>129</v>
      </c>
      <c r="M236"/>
      <c r="N236"/>
      <c r="P236" s="1"/>
      <c r="U236" s="1"/>
    </row>
    <row r="237" spans="1:21" x14ac:dyDescent="0.3">
      <c r="A237" s="11">
        <v>10001777</v>
      </c>
      <c r="B237" s="17" t="s">
        <v>19</v>
      </c>
      <c r="C237" s="18" t="s">
        <v>100</v>
      </c>
      <c r="D237" s="9">
        <v>46194</v>
      </c>
      <c r="E237" s="17" t="s">
        <v>113</v>
      </c>
      <c r="F237" s="12"/>
      <c r="G237" s="12"/>
      <c r="H237" s="13">
        <v>0</v>
      </c>
      <c r="I237" s="14">
        <v>0</v>
      </c>
      <c r="J237" s="15">
        <v>0</v>
      </c>
      <c r="K237" s="17" t="s">
        <v>116</v>
      </c>
      <c r="M237"/>
      <c r="N237"/>
      <c r="P237" s="1"/>
      <c r="U237" s="1"/>
    </row>
    <row r="238" spans="1:21" x14ac:dyDescent="0.3">
      <c r="A238" s="11">
        <v>10001777</v>
      </c>
      <c r="B238" s="17" t="s">
        <v>19</v>
      </c>
      <c r="C238" s="18" t="s">
        <v>100</v>
      </c>
      <c r="D238" s="9">
        <v>46195</v>
      </c>
      <c r="E238" s="17" t="s">
        <v>118</v>
      </c>
      <c r="F238" s="12">
        <v>0.33231481481481484</v>
      </c>
      <c r="G238" s="12">
        <v>0.33231481481481484</v>
      </c>
      <c r="H238" s="13">
        <v>0</v>
      </c>
      <c r="I238" s="14">
        <v>9</v>
      </c>
      <c r="J238" s="15">
        <v>-9</v>
      </c>
      <c r="K238" s="17" t="s">
        <v>67</v>
      </c>
      <c r="M238"/>
      <c r="N238"/>
      <c r="P238" s="1"/>
      <c r="U238" s="1"/>
    </row>
    <row r="239" spans="1:21" x14ac:dyDescent="0.3">
      <c r="A239" s="11">
        <v>10001777</v>
      </c>
      <c r="B239" s="17" t="s">
        <v>19</v>
      </c>
      <c r="C239" s="18" t="s">
        <v>100</v>
      </c>
      <c r="D239" s="9">
        <v>46196</v>
      </c>
      <c r="E239" s="17" t="s">
        <v>119</v>
      </c>
      <c r="F239" s="12">
        <v>0.33354166666666668</v>
      </c>
      <c r="G239" s="12">
        <v>0.33354166666666668</v>
      </c>
      <c r="H239" s="13">
        <v>0</v>
      </c>
      <c r="I239" s="14">
        <v>9</v>
      </c>
      <c r="J239" s="15">
        <v>-9</v>
      </c>
      <c r="K239" s="17" t="s">
        <v>67</v>
      </c>
      <c r="M239"/>
      <c r="N239"/>
      <c r="P239" s="1"/>
      <c r="U239" s="1"/>
    </row>
    <row r="240" spans="1:21" x14ac:dyDescent="0.3">
      <c r="A240" s="11">
        <v>10001777</v>
      </c>
      <c r="B240" s="17" t="s">
        <v>19</v>
      </c>
      <c r="C240" s="18" t="s">
        <v>100</v>
      </c>
      <c r="D240" s="9">
        <v>46197</v>
      </c>
      <c r="E240" s="17" t="s">
        <v>123</v>
      </c>
      <c r="F240" s="12">
        <v>0.33594907407407409</v>
      </c>
      <c r="G240" s="12">
        <v>0.33594907407407409</v>
      </c>
      <c r="H240" s="13">
        <v>0</v>
      </c>
      <c r="I240" s="14">
        <v>9</v>
      </c>
      <c r="J240" s="15">
        <v>-9</v>
      </c>
      <c r="K240" s="17" t="s">
        <v>67</v>
      </c>
      <c r="M240"/>
      <c r="N240"/>
      <c r="P240" s="1"/>
      <c r="U240" s="1"/>
    </row>
    <row r="241" spans="1:21" x14ac:dyDescent="0.3">
      <c r="A241" s="11">
        <v>10001777</v>
      </c>
      <c r="B241" s="17" t="s">
        <v>19</v>
      </c>
      <c r="C241" s="18" t="s">
        <v>100</v>
      </c>
      <c r="D241" s="9">
        <v>46198</v>
      </c>
      <c r="E241" s="17" t="s">
        <v>124</v>
      </c>
      <c r="F241" s="12">
        <v>0.33584490740740741</v>
      </c>
      <c r="G241" s="12">
        <v>0.33584490740740741</v>
      </c>
      <c r="H241" s="13">
        <v>0</v>
      </c>
      <c r="I241" s="14">
        <v>9</v>
      </c>
      <c r="J241" s="15">
        <v>-9</v>
      </c>
      <c r="K241" s="17" t="s">
        <v>67</v>
      </c>
      <c r="M241"/>
      <c r="N241"/>
      <c r="P241" s="1"/>
      <c r="U241" s="1"/>
    </row>
    <row r="242" spans="1:21" x14ac:dyDescent="0.3">
      <c r="A242" s="11">
        <v>10001777</v>
      </c>
      <c r="B242" s="17" t="s">
        <v>19</v>
      </c>
      <c r="C242" s="18" t="s">
        <v>100</v>
      </c>
      <c r="D242" s="9">
        <v>46199</v>
      </c>
      <c r="E242" s="17" t="s">
        <v>125</v>
      </c>
      <c r="F242" s="12">
        <v>0.33839120370370368</v>
      </c>
      <c r="G242" s="12">
        <v>0.33839120370370368</v>
      </c>
      <c r="H242" s="13">
        <v>0</v>
      </c>
      <c r="I242" s="14">
        <v>4</v>
      </c>
      <c r="J242" s="15">
        <v>-4</v>
      </c>
      <c r="K242" s="17" t="s">
        <v>67</v>
      </c>
      <c r="M242"/>
      <c r="N242"/>
      <c r="P242" s="1"/>
      <c r="U242" s="1"/>
    </row>
    <row r="243" spans="1:21" x14ac:dyDescent="0.3">
      <c r="A243" s="11">
        <v>10001777</v>
      </c>
      <c r="B243" s="17" t="s">
        <v>19</v>
      </c>
      <c r="C243" s="18" t="s">
        <v>100</v>
      </c>
      <c r="D243" s="9">
        <v>46200</v>
      </c>
      <c r="E243" s="17" t="s">
        <v>126</v>
      </c>
      <c r="F243" s="12"/>
      <c r="G243" s="12"/>
      <c r="H243" s="13">
        <v>0</v>
      </c>
      <c r="I243" s="14">
        <v>0</v>
      </c>
      <c r="J243" s="15">
        <v>0</v>
      </c>
      <c r="K243" s="17" t="s">
        <v>116</v>
      </c>
      <c r="M243"/>
      <c r="N243"/>
      <c r="P243" s="1"/>
      <c r="U243" s="1"/>
    </row>
    <row r="244" spans="1:21" x14ac:dyDescent="0.3">
      <c r="A244" s="11">
        <v>10001777</v>
      </c>
      <c r="B244" s="17" t="s">
        <v>19</v>
      </c>
      <c r="C244" s="18" t="s">
        <v>100</v>
      </c>
      <c r="D244" s="9">
        <v>46201</v>
      </c>
      <c r="E244" s="17" t="s">
        <v>113</v>
      </c>
      <c r="F244" s="12"/>
      <c r="G244" s="12"/>
      <c r="H244" s="13">
        <v>0</v>
      </c>
      <c r="I244" s="14">
        <v>0</v>
      </c>
      <c r="J244" s="15">
        <v>0</v>
      </c>
      <c r="K244" s="17" t="s">
        <v>116</v>
      </c>
      <c r="M244"/>
      <c r="N244"/>
      <c r="P244" s="1"/>
      <c r="U244" s="1"/>
    </row>
    <row r="245" spans="1:21" x14ac:dyDescent="0.3">
      <c r="A245" s="11">
        <v>10001777</v>
      </c>
      <c r="B245" s="17" t="s">
        <v>19</v>
      </c>
      <c r="C245" s="18" t="s">
        <v>100</v>
      </c>
      <c r="D245" s="9">
        <v>46202</v>
      </c>
      <c r="E245" s="17" t="s">
        <v>118</v>
      </c>
      <c r="F245" s="12">
        <v>0.33634259259259258</v>
      </c>
      <c r="G245" s="12">
        <v>0.33634259259259258</v>
      </c>
      <c r="H245" s="13">
        <v>0</v>
      </c>
      <c r="I245" s="14">
        <v>9</v>
      </c>
      <c r="J245" s="15">
        <v>-9</v>
      </c>
      <c r="K245" s="17" t="s">
        <v>67</v>
      </c>
      <c r="M245"/>
      <c r="N245"/>
      <c r="P245" s="1"/>
      <c r="U245" s="1"/>
    </row>
    <row r="246" spans="1:21" x14ac:dyDescent="0.3">
      <c r="A246" s="11">
        <v>10001794</v>
      </c>
      <c r="B246" s="17" t="s">
        <v>78</v>
      </c>
      <c r="C246" s="18" t="s">
        <v>24</v>
      </c>
      <c r="D246" s="9">
        <v>46194</v>
      </c>
      <c r="E246" s="17" t="s">
        <v>113</v>
      </c>
      <c r="F246" s="12"/>
      <c r="G246" s="12"/>
      <c r="H246" s="13">
        <v>0</v>
      </c>
      <c r="I246" s="14">
        <v>0</v>
      </c>
      <c r="J246" s="15">
        <v>0</v>
      </c>
      <c r="K246" s="17" t="s">
        <v>116</v>
      </c>
      <c r="M246"/>
      <c r="N246"/>
      <c r="P246" s="1"/>
      <c r="U246" s="1"/>
    </row>
    <row r="247" spans="1:21" x14ac:dyDescent="0.3">
      <c r="A247" s="11">
        <v>10001794</v>
      </c>
      <c r="B247" s="17" t="s">
        <v>78</v>
      </c>
      <c r="C247" s="18" t="s">
        <v>24</v>
      </c>
      <c r="D247" s="9">
        <v>46195</v>
      </c>
      <c r="E247" s="17" t="s">
        <v>118</v>
      </c>
      <c r="F247" s="12">
        <v>0.34644675925925927</v>
      </c>
      <c r="G247" s="12">
        <v>0.73423611111111109</v>
      </c>
      <c r="H247" s="13">
        <v>9.3069444444444436</v>
      </c>
      <c r="I247" s="14">
        <v>9</v>
      </c>
      <c r="J247" s="15">
        <v>0.30694444444444358</v>
      </c>
      <c r="K247" s="17" t="s">
        <v>115</v>
      </c>
      <c r="M247"/>
      <c r="N247"/>
      <c r="P247" s="1"/>
      <c r="U247" s="1"/>
    </row>
    <row r="248" spans="1:21" x14ac:dyDescent="0.3">
      <c r="A248" s="11">
        <v>10001794</v>
      </c>
      <c r="B248" s="17" t="s">
        <v>78</v>
      </c>
      <c r="C248" s="18" t="s">
        <v>24</v>
      </c>
      <c r="D248" s="9">
        <v>46196</v>
      </c>
      <c r="E248" s="17" t="s">
        <v>119</v>
      </c>
      <c r="F248" s="12">
        <v>0.34274305555555556</v>
      </c>
      <c r="G248" s="12">
        <v>0.74946759259259255</v>
      </c>
      <c r="H248" s="13">
        <v>9.761388888888888</v>
      </c>
      <c r="I248" s="14">
        <v>9</v>
      </c>
      <c r="J248" s="15">
        <v>0.761388888888888</v>
      </c>
      <c r="K248" s="17" t="s">
        <v>115</v>
      </c>
      <c r="M248"/>
      <c r="N248"/>
      <c r="P248" s="1"/>
      <c r="U248" s="1"/>
    </row>
    <row r="249" spans="1:21" x14ac:dyDescent="0.3">
      <c r="A249" s="11">
        <v>10001794</v>
      </c>
      <c r="B249" s="17" t="s">
        <v>78</v>
      </c>
      <c r="C249" s="18" t="s">
        <v>24</v>
      </c>
      <c r="D249" s="9">
        <v>46197</v>
      </c>
      <c r="E249" s="17" t="s">
        <v>123</v>
      </c>
      <c r="F249" s="12">
        <v>0.34489583333333335</v>
      </c>
      <c r="G249" s="12">
        <v>0.7407407407407407</v>
      </c>
      <c r="H249" s="13">
        <v>9.5002777777777769</v>
      </c>
      <c r="I249" s="14">
        <v>9</v>
      </c>
      <c r="J249" s="15">
        <v>0.50027777777777693</v>
      </c>
      <c r="K249" s="17" t="s">
        <v>115</v>
      </c>
      <c r="M249"/>
      <c r="N249"/>
      <c r="P249" s="1"/>
      <c r="U249" s="1"/>
    </row>
    <row r="250" spans="1:21" x14ac:dyDescent="0.3">
      <c r="A250" s="11">
        <v>10001794</v>
      </c>
      <c r="B250" s="17" t="s">
        <v>78</v>
      </c>
      <c r="C250" s="18" t="s">
        <v>24</v>
      </c>
      <c r="D250" s="9">
        <v>46198</v>
      </c>
      <c r="E250" s="17" t="s">
        <v>124</v>
      </c>
      <c r="F250" s="12">
        <v>0.34590277777777778</v>
      </c>
      <c r="G250" s="12">
        <v>0.73956018518518518</v>
      </c>
      <c r="H250" s="13">
        <v>9.4477777777777767</v>
      </c>
      <c r="I250" s="14">
        <v>9</v>
      </c>
      <c r="J250" s="15">
        <v>0.44777777777777672</v>
      </c>
      <c r="K250" s="17" t="s">
        <v>115</v>
      </c>
      <c r="M250"/>
      <c r="N250"/>
      <c r="P250" s="1"/>
      <c r="U250" s="1"/>
    </row>
    <row r="251" spans="1:21" x14ac:dyDescent="0.3">
      <c r="A251" s="11">
        <v>10001794</v>
      </c>
      <c r="B251" s="17" t="s">
        <v>78</v>
      </c>
      <c r="C251" s="18" t="s">
        <v>24</v>
      </c>
      <c r="D251" s="9">
        <v>46199</v>
      </c>
      <c r="E251" s="17" t="s">
        <v>125</v>
      </c>
      <c r="F251" s="12">
        <v>0.34728009259259257</v>
      </c>
      <c r="G251" s="12">
        <v>0.55854166666666671</v>
      </c>
      <c r="H251" s="13">
        <v>5.070277777777779</v>
      </c>
      <c r="I251" s="14">
        <v>4</v>
      </c>
      <c r="J251" s="15">
        <v>1.070277777777779</v>
      </c>
      <c r="K251" s="17" t="s">
        <v>115</v>
      </c>
      <c r="M251"/>
      <c r="N251"/>
      <c r="P251" s="1"/>
      <c r="U251" s="1"/>
    </row>
    <row r="252" spans="1:21" x14ac:dyDescent="0.3">
      <c r="A252" s="11">
        <v>10001794</v>
      </c>
      <c r="B252" s="17" t="s">
        <v>78</v>
      </c>
      <c r="C252" s="18" t="s">
        <v>24</v>
      </c>
      <c r="D252" s="9">
        <v>46200</v>
      </c>
      <c r="E252" s="17" t="s">
        <v>126</v>
      </c>
      <c r="F252" s="12"/>
      <c r="G252" s="12"/>
      <c r="H252" s="13">
        <v>0</v>
      </c>
      <c r="I252" s="14">
        <v>0</v>
      </c>
      <c r="J252" s="15">
        <v>0</v>
      </c>
      <c r="K252" s="17" t="s">
        <v>116</v>
      </c>
      <c r="M252"/>
      <c r="N252"/>
      <c r="P252" s="1"/>
      <c r="U252" s="1"/>
    </row>
    <row r="253" spans="1:21" x14ac:dyDescent="0.3">
      <c r="A253" s="11">
        <v>10001794</v>
      </c>
      <c r="B253" s="17" t="s">
        <v>78</v>
      </c>
      <c r="C253" s="18" t="s">
        <v>24</v>
      </c>
      <c r="D253" s="9">
        <v>46201</v>
      </c>
      <c r="E253" s="17" t="s">
        <v>113</v>
      </c>
      <c r="F253" s="12"/>
      <c r="G253" s="12"/>
      <c r="H253" s="13">
        <v>0</v>
      </c>
      <c r="I253" s="14">
        <v>0</v>
      </c>
      <c r="J253" s="15">
        <v>0</v>
      </c>
      <c r="K253" s="17" t="s">
        <v>116</v>
      </c>
      <c r="M253"/>
      <c r="N253"/>
      <c r="P253" s="1"/>
      <c r="U253" s="1"/>
    </row>
    <row r="254" spans="1:21" x14ac:dyDescent="0.3">
      <c r="A254" s="11">
        <v>10001794</v>
      </c>
      <c r="B254" s="17" t="s">
        <v>78</v>
      </c>
      <c r="C254" s="18" t="s">
        <v>24</v>
      </c>
      <c r="D254" s="9">
        <v>46202</v>
      </c>
      <c r="E254" s="17" t="s">
        <v>118</v>
      </c>
      <c r="F254" s="12">
        <v>0.33998842592592593</v>
      </c>
      <c r="G254" s="12">
        <v>0.72791666666666666</v>
      </c>
      <c r="H254" s="13">
        <v>9.3102777777777774</v>
      </c>
      <c r="I254" s="14">
        <v>9</v>
      </c>
      <c r="J254" s="15">
        <v>0.31027777777777743</v>
      </c>
      <c r="K254" s="17" t="s">
        <v>115</v>
      </c>
      <c r="M254"/>
      <c r="N254"/>
      <c r="P254" s="1"/>
      <c r="U254" s="1"/>
    </row>
    <row r="255" spans="1:21" x14ac:dyDescent="0.3">
      <c r="A255" s="11">
        <v>10001807</v>
      </c>
      <c r="B255" s="17" t="s">
        <v>50</v>
      </c>
      <c r="C255" s="18" t="s">
        <v>24</v>
      </c>
      <c r="D255" s="9">
        <v>46194</v>
      </c>
      <c r="E255" s="17" t="s">
        <v>113</v>
      </c>
      <c r="F255" s="12">
        <v>0.33585648148148151</v>
      </c>
      <c r="G255" s="12">
        <v>0.33585648148148151</v>
      </c>
      <c r="H255" s="13">
        <v>0</v>
      </c>
      <c r="I255" s="14">
        <v>0</v>
      </c>
      <c r="J255" s="15">
        <v>0</v>
      </c>
      <c r="K255" s="17" t="s">
        <v>114</v>
      </c>
      <c r="M255"/>
      <c r="N255"/>
      <c r="P255" s="1"/>
      <c r="U255" s="1"/>
    </row>
    <row r="256" spans="1:21" x14ac:dyDescent="0.3">
      <c r="A256" s="11">
        <v>10001807</v>
      </c>
      <c r="B256" s="17" t="s">
        <v>50</v>
      </c>
      <c r="C256" s="18" t="s">
        <v>24</v>
      </c>
      <c r="D256" s="9">
        <v>46195</v>
      </c>
      <c r="E256" s="17" t="s">
        <v>118</v>
      </c>
      <c r="F256" s="12">
        <v>0.34068287037037037</v>
      </c>
      <c r="G256" s="12">
        <v>0.72709490740740745</v>
      </c>
      <c r="H256" s="13">
        <v>9.2738888888888908</v>
      </c>
      <c r="I256" s="14">
        <v>9</v>
      </c>
      <c r="J256" s="15">
        <v>0.27388888888889085</v>
      </c>
      <c r="K256" s="17" t="s">
        <v>115</v>
      </c>
      <c r="M256"/>
      <c r="N256"/>
      <c r="P256" s="1"/>
      <c r="U256" s="1"/>
    </row>
    <row r="257" spans="1:21" x14ac:dyDescent="0.3">
      <c r="A257" s="11">
        <v>10001807</v>
      </c>
      <c r="B257" s="17" t="s">
        <v>50</v>
      </c>
      <c r="C257" s="18" t="s">
        <v>24</v>
      </c>
      <c r="D257" s="9">
        <v>46196</v>
      </c>
      <c r="E257" s="17" t="s">
        <v>119</v>
      </c>
      <c r="F257" s="12"/>
      <c r="G257" s="12"/>
      <c r="H257" s="13">
        <v>0</v>
      </c>
      <c r="I257" s="14">
        <v>9</v>
      </c>
      <c r="J257" s="15">
        <v>-9</v>
      </c>
      <c r="K257" s="17" t="s">
        <v>68</v>
      </c>
      <c r="M257"/>
      <c r="N257"/>
      <c r="P257" s="1"/>
      <c r="U257" s="1"/>
    </row>
    <row r="258" spans="1:21" x14ac:dyDescent="0.3">
      <c r="A258" s="11">
        <v>10001807</v>
      </c>
      <c r="B258" s="17" t="s">
        <v>50</v>
      </c>
      <c r="C258" s="18" t="s">
        <v>24</v>
      </c>
      <c r="D258" s="9">
        <v>46197</v>
      </c>
      <c r="E258" s="17" t="s">
        <v>123</v>
      </c>
      <c r="F258" s="12">
        <v>0.33778935185185183</v>
      </c>
      <c r="G258" s="12">
        <v>0.73552083333333329</v>
      </c>
      <c r="H258" s="13">
        <v>9.5455555555555556</v>
      </c>
      <c r="I258" s="14">
        <v>9</v>
      </c>
      <c r="J258" s="15">
        <v>0.54555555555555557</v>
      </c>
      <c r="K258" s="17" t="s">
        <v>115</v>
      </c>
      <c r="M258"/>
      <c r="N258"/>
      <c r="P258" s="1"/>
      <c r="U258" s="1"/>
    </row>
    <row r="259" spans="1:21" x14ac:dyDescent="0.3">
      <c r="A259" s="11">
        <v>10001807</v>
      </c>
      <c r="B259" s="17" t="s">
        <v>50</v>
      </c>
      <c r="C259" s="18" t="s">
        <v>24</v>
      </c>
      <c r="D259" s="9">
        <v>46198</v>
      </c>
      <c r="E259" s="17" t="s">
        <v>124</v>
      </c>
      <c r="F259" s="12">
        <v>0.33827546296296296</v>
      </c>
      <c r="G259" s="12">
        <v>0.80281250000000004</v>
      </c>
      <c r="H259" s="13">
        <v>11.148888888888891</v>
      </c>
      <c r="I259" s="14">
        <v>9</v>
      </c>
      <c r="J259" s="15">
        <v>2.1488888888888908</v>
      </c>
      <c r="K259" s="17" t="s">
        <v>115</v>
      </c>
      <c r="M259"/>
      <c r="N259"/>
      <c r="P259" s="1"/>
      <c r="U259" s="1"/>
    </row>
    <row r="260" spans="1:21" x14ac:dyDescent="0.3">
      <c r="A260" s="11">
        <v>10001807</v>
      </c>
      <c r="B260" s="17" t="s">
        <v>50</v>
      </c>
      <c r="C260" s="18" t="s">
        <v>24</v>
      </c>
      <c r="D260" s="9">
        <v>46199</v>
      </c>
      <c r="E260" s="17" t="s">
        <v>125</v>
      </c>
      <c r="F260" s="12">
        <v>0.34111111111111109</v>
      </c>
      <c r="G260" s="12">
        <v>0.55372685185185189</v>
      </c>
      <c r="H260" s="13">
        <v>5.1027777777777796</v>
      </c>
      <c r="I260" s="14">
        <v>4</v>
      </c>
      <c r="J260" s="15">
        <v>1.1027777777777796</v>
      </c>
      <c r="K260" s="17" t="s">
        <v>115</v>
      </c>
      <c r="M260"/>
      <c r="N260"/>
      <c r="P260" s="1"/>
      <c r="U260" s="1"/>
    </row>
    <row r="261" spans="1:21" x14ac:dyDescent="0.3">
      <c r="A261" s="11">
        <v>10001807</v>
      </c>
      <c r="B261" s="17" t="s">
        <v>50</v>
      </c>
      <c r="C261" s="18" t="s">
        <v>24</v>
      </c>
      <c r="D261" s="9">
        <v>46200</v>
      </c>
      <c r="E261" s="17" t="s">
        <v>126</v>
      </c>
      <c r="F261" s="12"/>
      <c r="G261" s="12"/>
      <c r="H261" s="13">
        <v>0</v>
      </c>
      <c r="I261" s="14">
        <v>0</v>
      </c>
      <c r="J261" s="15">
        <v>0</v>
      </c>
      <c r="K261" s="17" t="s">
        <v>116</v>
      </c>
      <c r="M261"/>
      <c r="N261"/>
      <c r="P261" s="1"/>
      <c r="U261" s="1"/>
    </row>
    <row r="262" spans="1:21" x14ac:dyDescent="0.3">
      <c r="A262" s="11">
        <v>10001807</v>
      </c>
      <c r="B262" s="17" t="s">
        <v>50</v>
      </c>
      <c r="C262" s="18" t="s">
        <v>24</v>
      </c>
      <c r="D262" s="9">
        <v>46201</v>
      </c>
      <c r="E262" s="17" t="s">
        <v>113</v>
      </c>
      <c r="F262" s="12"/>
      <c r="G262" s="12"/>
      <c r="H262" s="13">
        <v>0</v>
      </c>
      <c r="I262" s="14">
        <v>0</v>
      </c>
      <c r="J262" s="15">
        <v>0</v>
      </c>
      <c r="K262" s="17" t="s">
        <v>116</v>
      </c>
      <c r="M262"/>
      <c r="N262"/>
      <c r="P262" s="1"/>
      <c r="U262" s="1"/>
    </row>
    <row r="263" spans="1:21" x14ac:dyDescent="0.3">
      <c r="A263" s="11">
        <v>10001807</v>
      </c>
      <c r="B263" s="17" t="s">
        <v>50</v>
      </c>
      <c r="C263" s="18" t="s">
        <v>24</v>
      </c>
      <c r="D263" s="9">
        <v>46202</v>
      </c>
      <c r="E263" s="17" t="s">
        <v>118</v>
      </c>
      <c r="F263" s="12">
        <v>0.33728009259259262</v>
      </c>
      <c r="G263" s="12">
        <v>0.74929398148148152</v>
      </c>
      <c r="H263" s="13">
        <v>9.8883333333333336</v>
      </c>
      <c r="I263" s="14">
        <v>9</v>
      </c>
      <c r="J263" s="15">
        <v>0.88833333333333364</v>
      </c>
      <c r="K263" s="17" t="s">
        <v>115</v>
      </c>
      <c r="M263"/>
      <c r="N263"/>
      <c r="P263" s="1"/>
      <c r="U263" s="1"/>
    </row>
    <row r="264" spans="1:21" x14ac:dyDescent="0.3">
      <c r="A264" s="11">
        <v>10001841</v>
      </c>
      <c r="B264" s="17" t="s">
        <v>61</v>
      </c>
      <c r="C264" s="18" t="s">
        <v>13</v>
      </c>
      <c r="D264" s="9">
        <v>46194</v>
      </c>
      <c r="E264" s="17" t="s">
        <v>113</v>
      </c>
      <c r="F264" s="12">
        <v>0.36046296296296299</v>
      </c>
      <c r="G264" s="12">
        <v>0.36046296296296299</v>
      </c>
      <c r="H264" s="13">
        <v>0</v>
      </c>
      <c r="I264" s="14">
        <v>8.5</v>
      </c>
      <c r="J264" s="15">
        <v>-8.5</v>
      </c>
      <c r="K264" s="17" t="s">
        <v>67</v>
      </c>
      <c r="M264"/>
      <c r="N264"/>
      <c r="P264" s="1"/>
      <c r="U264" s="1"/>
    </row>
    <row r="265" spans="1:21" x14ac:dyDescent="0.3">
      <c r="A265" s="11">
        <v>10001841</v>
      </c>
      <c r="B265" s="17" t="s">
        <v>61</v>
      </c>
      <c r="C265" s="18" t="s">
        <v>13</v>
      </c>
      <c r="D265" s="9">
        <v>46195</v>
      </c>
      <c r="E265" s="17" t="s">
        <v>118</v>
      </c>
      <c r="F265" s="12">
        <v>0.33372685185185186</v>
      </c>
      <c r="G265" s="12">
        <v>0.33372685185185186</v>
      </c>
      <c r="H265" s="13">
        <v>0</v>
      </c>
      <c r="I265" s="14">
        <v>8.5</v>
      </c>
      <c r="J265" s="15">
        <v>-8.5</v>
      </c>
      <c r="K265" s="17" t="s">
        <v>67</v>
      </c>
      <c r="M265"/>
      <c r="N265"/>
      <c r="P265" s="1"/>
      <c r="U265" s="1"/>
    </row>
    <row r="266" spans="1:21" x14ac:dyDescent="0.3">
      <c r="A266" s="11">
        <v>10001841</v>
      </c>
      <c r="B266" s="17" t="s">
        <v>61</v>
      </c>
      <c r="C266" s="18" t="s">
        <v>13</v>
      </c>
      <c r="D266" s="9">
        <v>46196</v>
      </c>
      <c r="E266" s="17" t="s">
        <v>119</v>
      </c>
      <c r="F266" s="12">
        <v>0.33407407407407408</v>
      </c>
      <c r="G266" s="12">
        <v>0.33407407407407408</v>
      </c>
      <c r="H266" s="13">
        <v>0</v>
      </c>
      <c r="I266" s="14">
        <v>8.5</v>
      </c>
      <c r="J266" s="15">
        <v>-8.5</v>
      </c>
      <c r="K266" s="17" t="s">
        <v>67</v>
      </c>
      <c r="M266"/>
      <c r="N266"/>
      <c r="P266" s="1"/>
      <c r="U266" s="1"/>
    </row>
    <row r="267" spans="1:21" x14ac:dyDescent="0.3">
      <c r="A267" s="11">
        <v>10001841</v>
      </c>
      <c r="B267" s="17" t="s">
        <v>61</v>
      </c>
      <c r="C267" s="18" t="s">
        <v>13</v>
      </c>
      <c r="D267" s="9">
        <v>46197</v>
      </c>
      <c r="E267" s="17" t="s">
        <v>123</v>
      </c>
      <c r="F267" s="12">
        <v>0.33643518518518517</v>
      </c>
      <c r="G267" s="12">
        <v>0.33643518518518517</v>
      </c>
      <c r="H267" s="13">
        <v>0</v>
      </c>
      <c r="I267" s="14">
        <v>8.5</v>
      </c>
      <c r="J267" s="15">
        <v>-8.5</v>
      </c>
      <c r="K267" s="17" t="s">
        <v>67</v>
      </c>
      <c r="M267"/>
      <c r="N267"/>
      <c r="P267" s="1"/>
      <c r="U267" s="1"/>
    </row>
    <row r="268" spans="1:21" x14ac:dyDescent="0.3">
      <c r="A268" s="11">
        <v>10001841</v>
      </c>
      <c r="B268" s="17" t="s">
        <v>61</v>
      </c>
      <c r="C268" s="18" t="s">
        <v>13</v>
      </c>
      <c r="D268" s="9">
        <v>46198</v>
      </c>
      <c r="E268" s="17" t="s">
        <v>124</v>
      </c>
      <c r="F268" s="12">
        <v>0.33430555555555558</v>
      </c>
      <c r="G268" s="12">
        <v>0.33430555555555558</v>
      </c>
      <c r="H268" s="13">
        <v>0</v>
      </c>
      <c r="I268" s="14">
        <v>8.5</v>
      </c>
      <c r="J268" s="15">
        <v>-8.5</v>
      </c>
      <c r="K268" s="17" t="s">
        <v>67</v>
      </c>
      <c r="M268"/>
      <c r="N268"/>
      <c r="P268" s="1"/>
      <c r="U268" s="1"/>
    </row>
    <row r="269" spans="1:21" x14ac:dyDescent="0.3">
      <c r="A269" s="11">
        <v>10001841</v>
      </c>
      <c r="B269" s="17" t="s">
        <v>61</v>
      </c>
      <c r="C269" s="18" t="s">
        <v>13</v>
      </c>
      <c r="D269" s="9">
        <v>46199</v>
      </c>
      <c r="E269" s="17" t="s">
        <v>125</v>
      </c>
      <c r="F269" s="12">
        <v>0.33445601851851853</v>
      </c>
      <c r="G269" s="12">
        <v>0.33445601851851853</v>
      </c>
      <c r="H269" s="13">
        <v>0</v>
      </c>
      <c r="I269" s="14">
        <v>3</v>
      </c>
      <c r="J269" s="15">
        <v>-3</v>
      </c>
      <c r="K269" s="17" t="s">
        <v>67</v>
      </c>
      <c r="M269"/>
      <c r="N269"/>
      <c r="P269" s="1"/>
      <c r="U269" s="1"/>
    </row>
    <row r="270" spans="1:21" x14ac:dyDescent="0.3">
      <c r="A270" s="11">
        <v>10001841</v>
      </c>
      <c r="B270" s="17" t="s">
        <v>61</v>
      </c>
      <c r="C270" s="18" t="s">
        <v>13</v>
      </c>
      <c r="D270" s="9">
        <v>46200</v>
      </c>
      <c r="E270" s="17" t="s">
        <v>126</v>
      </c>
      <c r="F270" s="12"/>
      <c r="G270" s="12"/>
      <c r="H270" s="13">
        <v>0</v>
      </c>
      <c r="I270" s="14">
        <v>0</v>
      </c>
      <c r="J270" s="15">
        <v>0</v>
      </c>
      <c r="K270" s="17" t="s">
        <v>116</v>
      </c>
      <c r="M270"/>
      <c r="N270"/>
      <c r="P270" s="1"/>
      <c r="U270" s="1"/>
    </row>
    <row r="271" spans="1:21" x14ac:dyDescent="0.3">
      <c r="A271" s="11">
        <v>10001841</v>
      </c>
      <c r="B271" s="17" t="s">
        <v>61</v>
      </c>
      <c r="C271" s="18" t="s">
        <v>13</v>
      </c>
      <c r="D271" s="9">
        <v>46201</v>
      </c>
      <c r="E271" s="17" t="s">
        <v>113</v>
      </c>
      <c r="F271" s="12"/>
      <c r="G271" s="12"/>
      <c r="H271" s="13">
        <v>0</v>
      </c>
      <c r="I271" s="14">
        <v>0</v>
      </c>
      <c r="J271" s="15">
        <v>0</v>
      </c>
      <c r="K271" s="17" t="s">
        <v>129</v>
      </c>
      <c r="M271"/>
      <c r="N271"/>
      <c r="P271" s="1"/>
      <c r="U271" s="1"/>
    </row>
    <row r="272" spans="1:21" x14ac:dyDescent="0.3">
      <c r="A272" s="11">
        <v>10001841</v>
      </c>
      <c r="B272" s="17" t="s">
        <v>61</v>
      </c>
      <c r="C272" s="18" t="s">
        <v>13</v>
      </c>
      <c r="D272" s="9">
        <v>46202</v>
      </c>
      <c r="E272" s="17" t="s">
        <v>118</v>
      </c>
      <c r="F272" s="12"/>
      <c r="G272" s="12"/>
      <c r="H272" s="13">
        <v>0</v>
      </c>
      <c r="I272" s="14">
        <v>0</v>
      </c>
      <c r="J272" s="15">
        <v>0</v>
      </c>
      <c r="K272" s="17" t="s">
        <v>129</v>
      </c>
      <c r="M272"/>
      <c r="N272"/>
      <c r="P272" s="1"/>
      <c r="U272" s="1"/>
    </row>
    <row r="273" spans="1:21" x14ac:dyDescent="0.3">
      <c r="A273" s="11">
        <v>10001851</v>
      </c>
      <c r="B273" s="17" t="s">
        <v>43</v>
      </c>
      <c r="C273" s="18" t="s">
        <v>11</v>
      </c>
      <c r="D273" s="9">
        <v>46194</v>
      </c>
      <c r="E273" s="17" t="s">
        <v>113</v>
      </c>
      <c r="F273" s="12"/>
      <c r="G273" s="12"/>
      <c r="H273" s="13">
        <v>0</v>
      </c>
      <c r="I273" s="14">
        <v>0</v>
      </c>
      <c r="J273" s="15">
        <v>0</v>
      </c>
      <c r="K273" s="17" t="s">
        <v>116</v>
      </c>
      <c r="M273"/>
      <c r="N273"/>
      <c r="P273" s="1"/>
      <c r="U273" s="1"/>
    </row>
    <row r="274" spans="1:21" x14ac:dyDescent="0.3">
      <c r="A274" s="11">
        <v>10001851</v>
      </c>
      <c r="B274" s="17" t="s">
        <v>43</v>
      </c>
      <c r="C274" s="18" t="s">
        <v>11</v>
      </c>
      <c r="D274" s="9">
        <v>46195</v>
      </c>
      <c r="E274" s="17" t="s">
        <v>118</v>
      </c>
      <c r="F274" s="12">
        <v>0.34954861111111113</v>
      </c>
      <c r="G274" s="12">
        <v>0.73077546296296292</v>
      </c>
      <c r="H274" s="13">
        <v>9.1494444444444429</v>
      </c>
      <c r="I274" s="14">
        <v>9</v>
      </c>
      <c r="J274" s="15">
        <v>0.14944444444444294</v>
      </c>
      <c r="K274" s="17" t="s">
        <v>115</v>
      </c>
      <c r="M274"/>
      <c r="N274"/>
      <c r="P274" s="1"/>
      <c r="U274" s="1"/>
    </row>
    <row r="275" spans="1:21" x14ac:dyDescent="0.3">
      <c r="A275" s="11">
        <v>10001851</v>
      </c>
      <c r="B275" s="17" t="s">
        <v>43</v>
      </c>
      <c r="C275" s="18" t="s">
        <v>11</v>
      </c>
      <c r="D275" s="9">
        <v>46196</v>
      </c>
      <c r="E275" s="17" t="s">
        <v>119</v>
      </c>
      <c r="F275" s="12">
        <v>0.38570601851851855</v>
      </c>
      <c r="G275" s="12">
        <v>0.76246527777777773</v>
      </c>
      <c r="H275" s="13">
        <v>9.0422222222222199</v>
      </c>
      <c r="I275" s="14">
        <v>9</v>
      </c>
      <c r="J275" s="15">
        <v>4.2222222222219941E-2</v>
      </c>
      <c r="K275" s="17" t="s">
        <v>120</v>
      </c>
      <c r="M275"/>
      <c r="N275"/>
      <c r="P275" s="1"/>
      <c r="U275" s="1"/>
    </row>
    <row r="276" spans="1:21" x14ac:dyDescent="0.3">
      <c r="A276" s="11">
        <v>10001851</v>
      </c>
      <c r="B276" s="17" t="s">
        <v>43</v>
      </c>
      <c r="C276" s="18" t="s">
        <v>11</v>
      </c>
      <c r="D276" s="9">
        <v>46197</v>
      </c>
      <c r="E276" s="17" t="s">
        <v>123</v>
      </c>
      <c r="F276" s="12">
        <v>0.35447916666666668</v>
      </c>
      <c r="G276" s="12">
        <v>0.73297453703703708</v>
      </c>
      <c r="H276" s="13">
        <v>9.0838888888888896</v>
      </c>
      <c r="I276" s="14">
        <v>9</v>
      </c>
      <c r="J276" s="15">
        <v>8.3888888888889568E-2</v>
      </c>
      <c r="K276" s="17" t="s">
        <v>115</v>
      </c>
      <c r="M276"/>
      <c r="N276"/>
      <c r="P276" s="1"/>
      <c r="U276" s="1"/>
    </row>
    <row r="277" spans="1:21" x14ac:dyDescent="0.3">
      <c r="A277" s="11">
        <v>10001851</v>
      </c>
      <c r="B277" s="17" t="s">
        <v>43</v>
      </c>
      <c r="C277" s="18" t="s">
        <v>11</v>
      </c>
      <c r="D277" s="9">
        <v>46198</v>
      </c>
      <c r="E277" s="17" t="s">
        <v>124</v>
      </c>
      <c r="F277" s="12">
        <v>0.36008101851851854</v>
      </c>
      <c r="G277" s="12">
        <v>0.74932870370370375</v>
      </c>
      <c r="H277" s="13">
        <v>9.3419444444444455</v>
      </c>
      <c r="I277" s="14">
        <v>9</v>
      </c>
      <c r="J277" s="15">
        <v>0.34194444444444549</v>
      </c>
      <c r="K277" s="17" t="s">
        <v>120</v>
      </c>
      <c r="M277"/>
      <c r="N277"/>
      <c r="P277" s="1"/>
      <c r="U277" s="1"/>
    </row>
    <row r="278" spans="1:21" x14ac:dyDescent="0.3">
      <c r="A278" s="11">
        <v>10001851</v>
      </c>
      <c r="B278" s="17" t="s">
        <v>43</v>
      </c>
      <c r="C278" s="18" t="s">
        <v>11</v>
      </c>
      <c r="D278" s="9">
        <v>46199</v>
      </c>
      <c r="E278" s="17" t="s">
        <v>125</v>
      </c>
      <c r="F278" s="12">
        <v>0.33349537037037036</v>
      </c>
      <c r="G278" s="12">
        <v>0.33349537037037036</v>
      </c>
      <c r="H278" s="13">
        <v>0</v>
      </c>
      <c r="I278" s="14">
        <v>4</v>
      </c>
      <c r="J278" s="15">
        <v>-4</v>
      </c>
      <c r="K278" s="17" t="s">
        <v>67</v>
      </c>
      <c r="M278"/>
      <c r="N278"/>
      <c r="P278" s="1"/>
      <c r="U278" s="1"/>
    </row>
    <row r="279" spans="1:21" x14ac:dyDescent="0.3">
      <c r="A279" s="11">
        <v>10001851</v>
      </c>
      <c r="B279" s="17" t="s">
        <v>43</v>
      </c>
      <c r="C279" s="18" t="s">
        <v>11</v>
      </c>
      <c r="D279" s="9">
        <v>46200</v>
      </c>
      <c r="E279" s="17" t="s">
        <v>126</v>
      </c>
      <c r="F279" s="12"/>
      <c r="G279" s="12"/>
      <c r="H279" s="13">
        <v>0</v>
      </c>
      <c r="I279" s="14">
        <v>0</v>
      </c>
      <c r="J279" s="15">
        <v>0</v>
      </c>
      <c r="K279" s="17" t="s">
        <v>116</v>
      </c>
      <c r="M279"/>
      <c r="N279"/>
      <c r="P279" s="1"/>
      <c r="U279" s="1"/>
    </row>
    <row r="280" spans="1:21" x14ac:dyDescent="0.3">
      <c r="A280" s="11">
        <v>10001851</v>
      </c>
      <c r="B280" s="17" t="s">
        <v>43</v>
      </c>
      <c r="C280" s="18" t="s">
        <v>11</v>
      </c>
      <c r="D280" s="9">
        <v>46201</v>
      </c>
      <c r="E280" s="17" t="s">
        <v>113</v>
      </c>
      <c r="F280" s="12"/>
      <c r="G280" s="12"/>
      <c r="H280" s="13">
        <v>0</v>
      </c>
      <c r="I280" s="14">
        <v>0</v>
      </c>
      <c r="J280" s="15">
        <v>0</v>
      </c>
      <c r="K280" s="17" t="s">
        <v>116</v>
      </c>
      <c r="M280"/>
      <c r="N280"/>
      <c r="P280" s="1"/>
      <c r="U280" s="1"/>
    </row>
    <row r="281" spans="1:21" x14ac:dyDescent="0.3">
      <c r="A281" s="11">
        <v>10001851</v>
      </c>
      <c r="B281" s="17" t="s">
        <v>43</v>
      </c>
      <c r="C281" s="18" t="s">
        <v>11</v>
      </c>
      <c r="D281" s="9">
        <v>46202</v>
      </c>
      <c r="E281" s="17" t="s">
        <v>118</v>
      </c>
      <c r="F281" s="12"/>
      <c r="G281" s="12"/>
      <c r="H281" s="13">
        <v>0</v>
      </c>
      <c r="I281" s="14">
        <v>0</v>
      </c>
      <c r="J281" s="15">
        <v>0</v>
      </c>
      <c r="K281" s="17" t="s">
        <v>129</v>
      </c>
      <c r="M281"/>
      <c r="N281"/>
      <c r="P281" s="1"/>
      <c r="U281" s="1"/>
    </row>
    <row r="282" spans="1:21" x14ac:dyDescent="0.3">
      <c r="A282" s="11">
        <v>10001884</v>
      </c>
      <c r="B282" s="17" t="s">
        <v>16</v>
      </c>
      <c r="C282" s="18" t="s">
        <v>17</v>
      </c>
      <c r="D282" s="9">
        <v>46194</v>
      </c>
      <c r="E282" s="17" t="s">
        <v>113</v>
      </c>
      <c r="F282" s="12">
        <v>0.3460300925925926</v>
      </c>
      <c r="G282" s="12">
        <v>0.72226851851851848</v>
      </c>
      <c r="H282" s="13">
        <v>9.0297222222222207</v>
      </c>
      <c r="I282" s="14">
        <v>9</v>
      </c>
      <c r="J282" s="15">
        <v>2.9722222222220651E-2</v>
      </c>
      <c r="K282" s="17" t="s">
        <v>115</v>
      </c>
      <c r="M282"/>
      <c r="N282"/>
      <c r="P282" s="1"/>
      <c r="U282" s="1"/>
    </row>
    <row r="283" spans="1:21" x14ac:dyDescent="0.3">
      <c r="A283" s="11">
        <v>10001884</v>
      </c>
      <c r="B283" s="17" t="s">
        <v>16</v>
      </c>
      <c r="C283" s="18" t="s">
        <v>17</v>
      </c>
      <c r="D283" s="9">
        <v>46195</v>
      </c>
      <c r="E283" s="17" t="s">
        <v>118</v>
      </c>
      <c r="F283" s="12">
        <v>0.35451388888888891</v>
      </c>
      <c r="G283" s="12">
        <v>0.73138888888888887</v>
      </c>
      <c r="H283" s="13">
        <v>9.0449999999999982</v>
      </c>
      <c r="I283" s="14">
        <v>9</v>
      </c>
      <c r="J283" s="15">
        <v>4.4999999999998153E-2</v>
      </c>
      <c r="K283" s="17" t="s">
        <v>115</v>
      </c>
      <c r="M283"/>
      <c r="N283"/>
      <c r="P283" s="1"/>
      <c r="U283" s="1"/>
    </row>
    <row r="284" spans="1:21" x14ac:dyDescent="0.3">
      <c r="A284" s="11">
        <v>10001884</v>
      </c>
      <c r="B284" s="17" t="s">
        <v>16</v>
      </c>
      <c r="C284" s="18" t="s">
        <v>17</v>
      </c>
      <c r="D284" s="9">
        <v>46196</v>
      </c>
      <c r="E284" s="17" t="s">
        <v>119</v>
      </c>
      <c r="F284" s="12">
        <v>0.32959490740740743</v>
      </c>
      <c r="G284" s="12">
        <v>0.71774305555555551</v>
      </c>
      <c r="H284" s="13">
        <v>9.3155555555555534</v>
      </c>
      <c r="I284" s="14">
        <v>9</v>
      </c>
      <c r="J284" s="15">
        <v>0.31555555555555337</v>
      </c>
      <c r="K284" s="17" t="s">
        <v>115</v>
      </c>
      <c r="M284"/>
      <c r="N284"/>
      <c r="P284" s="1"/>
      <c r="U284" s="1"/>
    </row>
    <row r="285" spans="1:21" x14ac:dyDescent="0.3">
      <c r="A285" s="11">
        <v>10001884</v>
      </c>
      <c r="B285" s="17" t="s">
        <v>16</v>
      </c>
      <c r="C285" s="18" t="s">
        <v>17</v>
      </c>
      <c r="D285" s="9">
        <v>46197</v>
      </c>
      <c r="E285" s="17" t="s">
        <v>123</v>
      </c>
      <c r="F285" s="12">
        <v>0.33196759259259262</v>
      </c>
      <c r="G285" s="12">
        <v>0.72443287037037041</v>
      </c>
      <c r="H285" s="13">
        <v>9.4191666666666674</v>
      </c>
      <c r="I285" s="14">
        <v>9</v>
      </c>
      <c r="J285" s="15">
        <v>0.41916666666666735</v>
      </c>
      <c r="K285" s="17" t="s">
        <v>115</v>
      </c>
      <c r="M285"/>
      <c r="N285"/>
      <c r="P285" s="1"/>
      <c r="U285" s="1"/>
    </row>
    <row r="286" spans="1:21" x14ac:dyDescent="0.3">
      <c r="A286" s="11">
        <v>10001884</v>
      </c>
      <c r="B286" s="17" t="s">
        <v>16</v>
      </c>
      <c r="C286" s="18" t="s">
        <v>17</v>
      </c>
      <c r="D286" s="9">
        <v>46198</v>
      </c>
      <c r="E286" s="17" t="s">
        <v>124</v>
      </c>
      <c r="F286" s="12">
        <v>0.33238425925925924</v>
      </c>
      <c r="G286" s="12">
        <v>0.58291666666666664</v>
      </c>
      <c r="H286" s="13">
        <v>6.012777777777778</v>
      </c>
      <c r="I286" s="14">
        <v>4</v>
      </c>
      <c r="J286" s="15">
        <v>2.012777777777778</v>
      </c>
      <c r="K286" s="17" t="s">
        <v>115</v>
      </c>
      <c r="M286"/>
      <c r="N286"/>
      <c r="P286" s="1"/>
      <c r="U286" s="1"/>
    </row>
    <row r="287" spans="1:21" x14ac:dyDescent="0.3">
      <c r="A287" s="11">
        <v>10001884</v>
      </c>
      <c r="B287" s="17" t="s">
        <v>16</v>
      </c>
      <c r="C287" s="18" t="s">
        <v>17</v>
      </c>
      <c r="D287" s="9">
        <v>46199</v>
      </c>
      <c r="E287" s="17" t="s">
        <v>125</v>
      </c>
      <c r="F287" s="12"/>
      <c r="G287" s="12"/>
      <c r="H287" s="13">
        <v>0</v>
      </c>
      <c r="I287" s="14">
        <v>0</v>
      </c>
      <c r="J287" s="15">
        <v>0</v>
      </c>
      <c r="K287" s="17" t="s">
        <v>116</v>
      </c>
      <c r="M287"/>
      <c r="N287"/>
      <c r="P287" s="1"/>
      <c r="U287" s="1"/>
    </row>
    <row r="288" spans="1:21" x14ac:dyDescent="0.3">
      <c r="A288" s="11">
        <v>10001884</v>
      </c>
      <c r="B288" s="17" t="s">
        <v>16</v>
      </c>
      <c r="C288" s="18" t="s">
        <v>17</v>
      </c>
      <c r="D288" s="9">
        <v>46200</v>
      </c>
      <c r="E288" s="17" t="s">
        <v>126</v>
      </c>
      <c r="F288" s="12"/>
      <c r="G288" s="12"/>
      <c r="H288" s="13">
        <v>0</v>
      </c>
      <c r="I288" s="14">
        <v>0</v>
      </c>
      <c r="J288" s="15">
        <v>0</v>
      </c>
      <c r="K288" s="17" t="s">
        <v>116</v>
      </c>
      <c r="M288"/>
      <c r="N288"/>
      <c r="P288" s="1"/>
      <c r="U288" s="1"/>
    </row>
    <row r="289" spans="1:21" x14ac:dyDescent="0.3">
      <c r="A289" s="11">
        <v>10001884</v>
      </c>
      <c r="B289" s="17" t="s">
        <v>16</v>
      </c>
      <c r="C289" s="18" t="s">
        <v>17</v>
      </c>
      <c r="D289" s="9">
        <v>46201</v>
      </c>
      <c r="E289" s="17" t="s">
        <v>113</v>
      </c>
      <c r="F289" s="12">
        <v>0.34425925925925926</v>
      </c>
      <c r="G289" s="12">
        <v>0.72299768518518515</v>
      </c>
      <c r="H289" s="13">
        <v>9.0897222222222211</v>
      </c>
      <c r="I289" s="14">
        <v>9</v>
      </c>
      <c r="J289" s="15">
        <v>8.9722222222221149E-2</v>
      </c>
      <c r="K289" s="17" t="s">
        <v>115</v>
      </c>
      <c r="M289"/>
      <c r="N289"/>
      <c r="P289" s="1"/>
      <c r="U289" s="1"/>
    </row>
    <row r="290" spans="1:21" x14ac:dyDescent="0.3">
      <c r="A290" s="11">
        <v>10001884</v>
      </c>
      <c r="B290" s="17" t="s">
        <v>16</v>
      </c>
      <c r="C290" s="18" t="s">
        <v>17</v>
      </c>
      <c r="D290" s="9">
        <v>46202</v>
      </c>
      <c r="E290" s="17" t="s">
        <v>118</v>
      </c>
      <c r="F290" s="12">
        <v>0.34466435185185185</v>
      </c>
      <c r="G290" s="12">
        <v>0.7257986111111111</v>
      </c>
      <c r="H290" s="13">
        <v>9.1472222222222221</v>
      </c>
      <c r="I290" s="14">
        <v>9</v>
      </c>
      <c r="J290" s="15">
        <v>0.14722222222222214</v>
      </c>
      <c r="K290" s="17" t="s">
        <v>115</v>
      </c>
      <c r="M290"/>
      <c r="N290"/>
      <c r="P290" s="1"/>
      <c r="U290" s="1"/>
    </row>
    <row r="291" spans="1:21" x14ac:dyDescent="0.3">
      <c r="A291" s="11">
        <v>10001932</v>
      </c>
      <c r="B291" s="17" t="s">
        <v>62</v>
      </c>
      <c r="C291" s="18" t="s">
        <v>13</v>
      </c>
      <c r="D291" s="9">
        <v>46194</v>
      </c>
      <c r="E291" s="17" t="s">
        <v>113</v>
      </c>
      <c r="F291" s="12">
        <v>0.36226851851851855</v>
      </c>
      <c r="G291" s="12">
        <v>0.36226851851851855</v>
      </c>
      <c r="H291" s="13">
        <v>0</v>
      </c>
      <c r="I291" s="14">
        <v>8.5</v>
      </c>
      <c r="J291" s="15">
        <v>-8.5</v>
      </c>
      <c r="K291" s="17" t="s">
        <v>67</v>
      </c>
      <c r="M291"/>
      <c r="N291"/>
      <c r="P291" s="1"/>
      <c r="U291" s="1"/>
    </row>
    <row r="292" spans="1:21" x14ac:dyDescent="0.3">
      <c r="A292" s="11">
        <v>10001932</v>
      </c>
      <c r="B292" s="17" t="s">
        <v>62</v>
      </c>
      <c r="C292" s="18" t="s">
        <v>13</v>
      </c>
      <c r="D292" s="9">
        <v>46195</v>
      </c>
      <c r="E292" s="17" t="s">
        <v>118</v>
      </c>
      <c r="F292" s="12">
        <v>0.3621064814814815</v>
      </c>
      <c r="G292" s="12">
        <v>0.73182870370370368</v>
      </c>
      <c r="H292" s="13">
        <v>8.8733333333333313</v>
      </c>
      <c r="I292" s="14">
        <v>8.5</v>
      </c>
      <c r="J292" s="15">
        <v>0.3733333333333313</v>
      </c>
      <c r="K292" s="17" t="s">
        <v>120</v>
      </c>
      <c r="M292"/>
      <c r="N292"/>
      <c r="P292" s="1"/>
      <c r="U292" s="1"/>
    </row>
    <row r="293" spans="1:21" x14ac:dyDescent="0.3">
      <c r="A293" s="11">
        <v>10001932</v>
      </c>
      <c r="B293" s="17" t="s">
        <v>62</v>
      </c>
      <c r="C293" s="18" t="s">
        <v>13</v>
      </c>
      <c r="D293" s="9">
        <v>46196</v>
      </c>
      <c r="E293" s="17" t="s">
        <v>119</v>
      </c>
      <c r="F293" s="12"/>
      <c r="G293" s="12"/>
      <c r="H293" s="13">
        <v>0</v>
      </c>
      <c r="I293" s="14">
        <v>8.5</v>
      </c>
      <c r="J293" s="15">
        <v>-8.5</v>
      </c>
      <c r="K293" s="17" t="s">
        <v>68</v>
      </c>
      <c r="M293"/>
      <c r="N293"/>
      <c r="P293" s="1"/>
      <c r="U293" s="1"/>
    </row>
    <row r="294" spans="1:21" x14ac:dyDescent="0.3">
      <c r="A294" s="11">
        <v>10001932</v>
      </c>
      <c r="B294" s="17" t="s">
        <v>62</v>
      </c>
      <c r="C294" s="18" t="s">
        <v>13</v>
      </c>
      <c r="D294" s="9">
        <v>46197</v>
      </c>
      <c r="E294" s="17" t="s">
        <v>123</v>
      </c>
      <c r="F294" s="12"/>
      <c r="G294" s="12"/>
      <c r="H294" s="13">
        <v>0</v>
      </c>
      <c r="I294" s="14">
        <v>8.5</v>
      </c>
      <c r="J294" s="15">
        <v>-8.5</v>
      </c>
      <c r="K294" s="17" t="s">
        <v>68</v>
      </c>
      <c r="M294"/>
      <c r="N294"/>
      <c r="P294" s="1"/>
      <c r="U294" s="1"/>
    </row>
    <row r="295" spans="1:21" x14ac:dyDescent="0.3">
      <c r="A295" s="11">
        <v>10001932</v>
      </c>
      <c r="B295" s="17" t="s">
        <v>62</v>
      </c>
      <c r="C295" s="18" t="s">
        <v>13</v>
      </c>
      <c r="D295" s="9">
        <v>46198</v>
      </c>
      <c r="E295" s="17" t="s">
        <v>124</v>
      </c>
      <c r="F295" s="12">
        <v>0.35730324074074077</v>
      </c>
      <c r="G295" s="12">
        <v>0.72893518518518519</v>
      </c>
      <c r="H295" s="13">
        <v>8.9191666666666656</v>
      </c>
      <c r="I295" s="14">
        <v>8.5</v>
      </c>
      <c r="J295" s="15">
        <v>0.41916666666666558</v>
      </c>
      <c r="K295" s="17" t="s">
        <v>120</v>
      </c>
      <c r="M295"/>
      <c r="N295"/>
      <c r="P295" s="1"/>
      <c r="U295" s="1"/>
    </row>
    <row r="296" spans="1:21" x14ac:dyDescent="0.3">
      <c r="A296" s="11">
        <v>10001932</v>
      </c>
      <c r="B296" s="17" t="s">
        <v>62</v>
      </c>
      <c r="C296" s="18" t="s">
        <v>13</v>
      </c>
      <c r="D296" s="9">
        <v>46199</v>
      </c>
      <c r="E296" s="17" t="s">
        <v>125</v>
      </c>
      <c r="F296" s="12">
        <v>0.36103009259259261</v>
      </c>
      <c r="G296" s="12">
        <v>0.36103009259259261</v>
      </c>
      <c r="H296" s="13">
        <v>0</v>
      </c>
      <c r="I296" s="14">
        <v>3</v>
      </c>
      <c r="J296" s="15">
        <v>-3</v>
      </c>
      <c r="K296" s="17" t="s">
        <v>67</v>
      </c>
      <c r="O296"/>
      <c r="P296"/>
      <c r="U296" s="1"/>
    </row>
    <row r="297" spans="1:21" x14ac:dyDescent="0.3">
      <c r="A297" s="11">
        <v>10001932</v>
      </c>
      <c r="B297" s="17" t="s">
        <v>62</v>
      </c>
      <c r="C297" s="18" t="s">
        <v>13</v>
      </c>
      <c r="D297" s="9">
        <v>46200</v>
      </c>
      <c r="E297" s="17" t="s">
        <v>126</v>
      </c>
      <c r="F297" s="12"/>
      <c r="G297" s="12"/>
      <c r="H297" s="13">
        <v>0</v>
      </c>
      <c r="I297" s="14">
        <v>0</v>
      </c>
      <c r="J297" s="15">
        <v>0</v>
      </c>
      <c r="K297" s="17" t="s">
        <v>116</v>
      </c>
      <c r="O297"/>
      <c r="P297"/>
      <c r="U297" s="1"/>
    </row>
    <row r="298" spans="1:21" x14ac:dyDescent="0.3">
      <c r="A298" s="11">
        <v>10001932</v>
      </c>
      <c r="B298" s="17" t="s">
        <v>62</v>
      </c>
      <c r="C298" s="18" t="s">
        <v>13</v>
      </c>
      <c r="D298" s="9">
        <v>46201</v>
      </c>
      <c r="E298" s="17" t="s">
        <v>113</v>
      </c>
      <c r="F298" s="12"/>
      <c r="G298" s="12"/>
      <c r="H298" s="13">
        <v>0</v>
      </c>
      <c r="I298" s="14">
        <v>8.5</v>
      </c>
      <c r="J298" s="15">
        <v>-8.5</v>
      </c>
      <c r="K298" s="17" t="s">
        <v>68</v>
      </c>
      <c r="O298"/>
      <c r="P298"/>
      <c r="U298" s="1"/>
    </row>
    <row r="299" spans="1:21" x14ac:dyDescent="0.3">
      <c r="A299" s="11">
        <v>10001932</v>
      </c>
      <c r="B299" s="17" t="s">
        <v>62</v>
      </c>
      <c r="C299" s="18" t="s">
        <v>13</v>
      </c>
      <c r="D299" s="9">
        <v>46202</v>
      </c>
      <c r="E299" s="17" t="s">
        <v>118</v>
      </c>
      <c r="F299" s="12"/>
      <c r="G299" s="12"/>
      <c r="H299" s="13">
        <v>0</v>
      </c>
      <c r="I299" s="14">
        <v>8.5</v>
      </c>
      <c r="J299" s="15">
        <v>-8.5</v>
      </c>
      <c r="K299" s="17" t="s">
        <v>68</v>
      </c>
      <c r="O299"/>
      <c r="P299"/>
      <c r="U299" s="1"/>
    </row>
    <row r="300" spans="1:21" x14ac:dyDescent="0.3">
      <c r="A300" s="11">
        <v>10001959</v>
      </c>
      <c r="B300" s="17" t="s">
        <v>64</v>
      </c>
      <c r="C300" s="18" t="s">
        <v>17</v>
      </c>
      <c r="D300" s="9">
        <v>46194</v>
      </c>
      <c r="E300" s="17" t="s">
        <v>113</v>
      </c>
      <c r="F300" s="12"/>
      <c r="G300" s="12"/>
      <c r="H300" s="13">
        <v>0</v>
      </c>
      <c r="I300" s="14">
        <v>0</v>
      </c>
      <c r="J300" s="15">
        <v>0</v>
      </c>
      <c r="K300" s="17" t="s">
        <v>116</v>
      </c>
      <c r="O300"/>
      <c r="P300"/>
      <c r="U300" s="1"/>
    </row>
    <row r="301" spans="1:21" x14ac:dyDescent="0.3">
      <c r="A301" s="11">
        <v>10001959</v>
      </c>
      <c r="B301" s="17" t="s">
        <v>64</v>
      </c>
      <c r="C301" s="18" t="s">
        <v>17</v>
      </c>
      <c r="D301" s="9">
        <v>46195</v>
      </c>
      <c r="E301" s="17" t="s">
        <v>118</v>
      </c>
      <c r="F301" s="12">
        <v>0.45736111111111111</v>
      </c>
      <c r="G301" s="12">
        <v>0.45736111111111111</v>
      </c>
      <c r="H301" s="13">
        <v>0</v>
      </c>
      <c r="I301" s="14">
        <v>9</v>
      </c>
      <c r="J301" s="15">
        <v>-9</v>
      </c>
      <c r="K301" s="17" t="s">
        <v>67</v>
      </c>
      <c r="O301"/>
      <c r="P301"/>
      <c r="U301" s="1"/>
    </row>
    <row r="302" spans="1:21" x14ac:dyDescent="0.3">
      <c r="A302" s="11">
        <v>10001959</v>
      </c>
      <c r="B302" s="17" t="s">
        <v>64</v>
      </c>
      <c r="C302" s="18" t="s">
        <v>17</v>
      </c>
      <c r="D302" s="9">
        <v>46196</v>
      </c>
      <c r="E302" s="17" t="s">
        <v>119</v>
      </c>
      <c r="F302" s="12">
        <v>0.45175925925925925</v>
      </c>
      <c r="G302" s="12">
        <v>0.57300925925925927</v>
      </c>
      <c r="H302" s="13">
        <v>2.9100000000000006</v>
      </c>
      <c r="I302" s="14">
        <v>9</v>
      </c>
      <c r="J302" s="15">
        <v>-6.09</v>
      </c>
      <c r="K302" s="17" t="s">
        <v>122</v>
      </c>
      <c r="O302"/>
      <c r="P302"/>
      <c r="U302" s="1"/>
    </row>
    <row r="303" spans="1:21" x14ac:dyDescent="0.3">
      <c r="A303" s="11">
        <v>10001959</v>
      </c>
      <c r="B303" s="17" t="s">
        <v>64</v>
      </c>
      <c r="C303" s="18" t="s">
        <v>17</v>
      </c>
      <c r="D303" s="9">
        <v>46197</v>
      </c>
      <c r="E303" s="17" t="s">
        <v>123</v>
      </c>
      <c r="F303" s="12">
        <v>0.44082175925925926</v>
      </c>
      <c r="G303" s="12">
        <v>0.44082175925925926</v>
      </c>
      <c r="H303" s="13">
        <v>0</v>
      </c>
      <c r="I303" s="14">
        <v>9</v>
      </c>
      <c r="J303" s="15">
        <v>-9</v>
      </c>
      <c r="K303" s="17" t="s">
        <v>67</v>
      </c>
      <c r="O303"/>
      <c r="P303"/>
      <c r="U303" s="1"/>
    </row>
    <row r="304" spans="1:21" x14ac:dyDescent="0.3">
      <c r="A304" s="11">
        <v>10001959</v>
      </c>
      <c r="B304" s="17" t="s">
        <v>64</v>
      </c>
      <c r="C304" s="18" t="s">
        <v>17</v>
      </c>
      <c r="D304" s="9">
        <v>46198</v>
      </c>
      <c r="E304" s="17" t="s">
        <v>124</v>
      </c>
      <c r="F304" s="12">
        <v>0.44865740740740739</v>
      </c>
      <c r="G304" s="12">
        <v>0.44865740740740739</v>
      </c>
      <c r="H304" s="13">
        <v>0</v>
      </c>
      <c r="I304" s="14">
        <v>9</v>
      </c>
      <c r="J304" s="15">
        <v>-9</v>
      </c>
      <c r="K304" s="17" t="s">
        <v>67</v>
      </c>
      <c r="O304"/>
      <c r="P304"/>
      <c r="U304" s="1"/>
    </row>
    <row r="305" spans="1:21" x14ac:dyDescent="0.3">
      <c r="A305" s="11">
        <v>10001959</v>
      </c>
      <c r="B305" s="17" t="s">
        <v>64</v>
      </c>
      <c r="C305" s="18" t="s">
        <v>17</v>
      </c>
      <c r="D305" s="9">
        <v>46199</v>
      </c>
      <c r="E305" s="17" t="s">
        <v>125</v>
      </c>
      <c r="F305" s="12">
        <v>0.43915509259259261</v>
      </c>
      <c r="G305" s="12">
        <v>0.43915509259259261</v>
      </c>
      <c r="H305" s="13">
        <v>0</v>
      </c>
      <c r="I305" s="14">
        <v>4</v>
      </c>
      <c r="J305" s="15">
        <v>-4</v>
      </c>
      <c r="K305" s="17" t="s">
        <v>67</v>
      </c>
      <c r="O305"/>
      <c r="P305"/>
      <c r="U305" s="1"/>
    </row>
    <row r="306" spans="1:21" x14ac:dyDescent="0.3">
      <c r="A306" s="11">
        <v>10001959</v>
      </c>
      <c r="B306" s="17" t="s">
        <v>64</v>
      </c>
      <c r="C306" s="18" t="s">
        <v>17</v>
      </c>
      <c r="D306" s="9">
        <v>46200</v>
      </c>
      <c r="E306" s="17" t="s">
        <v>126</v>
      </c>
      <c r="F306" s="12"/>
      <c r="G306" s="12"/>
      <c r="H306" s="13">
        <v>0</v>
      </c>
      <c r="I306" s="14">
        <v>0</v>
      </c>
      <c r="J306" s="15">
        <v>0</v>
      </c>
      <c r="K306" s="17" t="s">
        <v>116</v>
      </c>
      <c r="O306"/>
      <c r="P306"/>
      <c r="U306" s="1"/>
    </row>
    <row r="307" spans="1:21" x14ac:dyDescent="0.3">
      <c r="A307" s="11">
        <v>10001959</v>
      </c>
      <c r="B307" s="17" t="s">
        <v>64</v>
      </c>
      <c r="C307" s="18" t="s">
        <v>17</v>
      </c>
      <c r="D307" s="9">
        <v>46201</v>
      </c>
      <c r="E307" s="17" t="s">
        <v>113</v>
      </c>
      <c r="F307" s="12"/>
      <c r="G307" s="12"/>
      <c r="H307" s="13">
        <v>0</v>
      </c>
      <c r="I307" s="14">
        <v>0</v>
      </c>
      <c r="J307" s="15">
        <v>0</v>
      </c>
      <c r="K307" s="17" t="s">
        <v>116</v>
      </c>
      <c r="O307"/>
      <c r="P307"/>
      <c r="U307" s="1"/>
    </row>
    <row r="308" spans="1:21" x14ac:dyDescent="0.3">
      <c r="A308" s="11">
        <v>10001959</v>
      </c>
      <c r="B308" s="17" t="s">
        <v>64</v>
      </c>
      <c r="C308" s="18" t="s">
        <v>17</v>
      </c>
      <c r="D308" s="9">
        <v>46202</v>
      </c>
      <c r="E308" s="17" t="s">
        <v>118</v>
      </c>
      <c r="F308" s="12">
        <v>0.43094907407407407</v>
      </c>
      <c r="G308" s="12">
        <v>0.43094907407407407</v>
      </c>
      <c r="H308" s="13">
        <v>0</v>
      </c>
      <c r="I308" s="14">
        <v>9</v>
      </c>
      <c r="J308" s="15">
        <v>-9</v>
      </c>
      <c r="K308" s="17" t="s">
        <v>67</v>
      </c>
      <c r="O308"/>
      <c r="P308"/>
      <c r="U308" s="1"/>
    </row>
    <row r="309" spans="1:21" x14ac:dyDescent="0.3">
      <c r="A309" s="11">
        <v>10001993</v>
      </c>
      <c r="B309" s="17" t="s">
        <v>25</v>
      </c>
      <c r="C309" s="18" t="s">
        <v>24</v>
      </c>
      <c r="D309" s="9">
        <v>46194</v>
      </c>
      <c r="E309" s="17" t="s">
        <v>113</v>
      </c>
      <c r="F309" s="12"/>
      <c r="G309" s="12"/>
      <c r="H309" s="13">
        <v>0</v>
      </c>
      <c r="I309" s="14">
        <v>0</v>
      </c>
      <c r="J309" s="15">
        <v>0</v>
      </c>
      <c r="K309" s="17" t="s">
        <v>116</v>
      </c>
      <c r="O309"/>
      <c r="P309"/>
      <c r="U309" s="1"/>
    </row>
    <row r="310" spans="1:21" x14ac:dyDescent="0.3">
      <c r="A310" s="11">
        <v>10001993</v>
      </c>
      <c r="B310" s="17" t="s">
        <v>25</v>
      </c>
      <c r="C310" s="18" t="s">
        <v>24</v>
      </c>
      <c r="D310" s="9">
        <v>46195</v>
      </c>
      <c r="E310" s="17" t="s">
        <v>118</v>
      </c>
      <c r="F310" s="12">
        <v>0.33240740740740743</v>
      </c>
      <c r="G310" s="12">
        <v>0.7106365740740741</v>
      </c>
      <c r="H310" s="13">
        <v>9.0775000000000006</v>
      </c>
      <c r="I310" s="14">
        <v>9</v>
      </c>
      <c r="J310" s="15">
        <v>7.7500000000000568E-2</v>
      </c>
      <c r="K310" s="17" t="s">
        <v>115</v>
      </c>
      <c r="O310"/>
      <c r="P310"/>
      <c r="U310" s="1"/>
    </row>
    <row r="311" spans="1:21" x14ac:dyDescent="0.3">
      <c r="A311" s="11">
        <v>10001993</v>
      </c>
      <c r="B311" s="17" t="s">
        <v>25</v>
      </c>
      <c r="C311" s="18" t="s">
        <v>24</v>
      </c>
      <c r="D311" s="9">
        <v>46196</v>
      </c>
      <c r="E311" s="17" t="s">
        <v>119</v>
      </c>
      <c r="F311" s="12">
        <v>0.33417824074074076</v>
      </c>
      <c r="G311" s="12">
        <v>0.71276620370370369</v>
      </c>
      <c r="H311" s="13">
        <v>9.0861111111111104</v>
      </c>
      <c r="I311" s="14">
        <v>9</v>
      </c>
      <c r="J311" s="15">
        <v>8.6111111111110361E-2</v>
      </c>
      <c r="K311" s="17" t="s">
        <v>115</v>
      </c>
      <c r="O311"/>
      <c r="P311"/>
      <c r="U311" s="1"/>
    </row>
    <row r="312" spans="1:21" x14ac:dyDescent="0.3">
      <c r="A312" s="11">
        <v>10001993</v>
      </c>
      <c r="B312" s="17" t="s">
        <v>25</v>
      </c>
      <c r="C312" s="18" t="s">
        <v>24</v>
      </c>
      <c r="D312" s="9">
        <v>46197</v>
      </c>
      <c r="E312" s="17" t="s">
        <v>123</v>
      </c>
      <c r="F312" s="12">
        <v>0.33231481481481484</v>
      </c>
      <c r="G312" s="12">
        <v>0.71061342592592591</v>
      </c>
      <c r="H312" s="13">
        <v>9.0791666666666657</v>
      </c>
      <c r="I312" s="14">
        <v>9</v>
      </c>
      <c r="J312" s="15">
        <v>7.9166666666665719E-2</v>
      </c>
      <c r="K312" s="17" t="s">
        <v>115</v>
      </c>
      <c r="O312"/>
      <c r="P312"/>
      <c r="U312" s="1"/>
    </row>
    <row r="313" spans="1:21" x14ac:dyDescent="0.3">
      <c r="A313" s="11">
        <v>10001993</v>
      </c>
      <c r="B313" s="17" t="s">
        <v>25</v>
      </c>
      <c r="C313" s="18" t="s">
        <v>24</v>
      </c>
      <c r="D313" s="9">
        <v>46198</v>
      </c>
      <c r="E313" s="17" t="s">
        <v>124</v>
      </c>
      <c r="F313" s="12">
        <v>0.34096064814814814</v>
      </c>
      <c r="G313" s="12">
        <v>0.34096064814814814</v>
      </c>
      <c r="H313" s="13">
        <v>0</v>
      </c>
      <c r="I313" s="14">
        <v>9</v>
      </c>
      <c r="J313" s="15">
        <v>-9</v>
      </c>
      <c r="K313" s="17" t="s">
        <v>67</v>
      </c>
      <c r="O313"/>
      <c r="P313"/>
      <c r="U313" s="1"/>
    </row>
    <row r="314" spans="1:21" x14ac:dyDescent="0.3">
      <c r="A314" s="11">
        <v>10001993</v>
      </c>
      <c r="B314" s="17" t="s">
        <v>25</v>
      </c>
      <c r="C314" s="18" t="s">
        <v>24</v>
      </c>
      <c r="D314" s="9">
        <v>46199</v>
      </c>
      <c r="E314" s="17" t="s">
        <v>125</v>
      </c>
      <c r="F314" s="12">
        <v>0.33436342592592594</v>
      </c>
      <c r="G314" s="12">
        <v>0.50177083333333339</v>
      </c>
      <c r="H314" s="13">
        <v>4.0177777777777788</v>
      </c>
      <c r="I314" s="14">
        <v>4</v>
      </c>
      <c r="J314" s="15">
        <v>1.777777777777878E-2</v>
      </c>
      <c r="K314" s="17" t="s">
        <v>115</v>
      </c>
      <c r="O314"/>
      <c r="P314"/>
      <c r="U314" s="1"/>
    </row>
    <row r="315" spans="1:21" x14ac:dyDescent="0.3">
      <c r="A315" s="11">
        <v>10001993</v>
      </c>
      <c r="B315" s="17" t="s">
        <v>25</v>
      </c>
      <c r="C315" s="18" t="s">
        <v>24</v>
      </c>
      <c r="D315" s="9">
        <v>46200</v>
      </c>
      <c r="E315" s="17" t="s">
        <v>126</v>
      </c>
      <c r="F315" s="12"/>
      <c r="G315" s="12"/>
      <c r="H315" s="13">
        <v>0</v>
      </c>
      <c r="I315" s="14">
        <v>0</v>
      </c>
      <c r="J315" s="15">
        <v>0</v>
      </c>
      <c r="K315" s="17" t="s">
        <v>116</v>
      </c>
      <c r="O315"/>
      <c r="P315"/>
      <c r="U315" s="1"/>
    </row>
    <row r="316" spans="1:21" x14ac:dyDescent="0.3">
      <c r="A316" s="11">
        <v>10001993</v>
      </c>
      <c r="B316" s="17" t="s">
        <v>25</v>
      </c>
      <c r="C316" s="18" t="s">
        <v>24</v>
      </c>
      <c r="D316" s="9">
        <v>46201</v>
      </c>
      <c r="E316" s="17" t="s">
        <v>113</v>
      </c>
      <c r="F316" s="12"/>
      <c r="G316" s="12"/>
      <c r="H316" s="13">
        <v>0</v>
      </c>
      <c r="I316" s="14">
        <v>0</v>
      </c>
      <c r="J316" s="15">
        <v>0</v>
      </c>
      <c r="K316" s="17" t="s">
        <v>116</v>
      </c>
      <c r="O316"/>
      <c r="P316"/>
      <c r="U316" s="1"/>
    </row>
    <row r="317" spans="1:21" x14ac:dyDescent="0.3">
      <c r="A317" s="11">
        <v>10001993</v>
      </c>
      <c r="B317" s="17" t="s">
        <v>25</v>
      </c>
      <c r="C317" s="18" t="s">
        <v>24</v>
      </c>
      <c r="D317" s="9">
        <v>46202</v>
      </c>
      <c r="E317" s="17" t="s">
        <v>118</v>
      </c>
      <c r="F317" s="12">
        <v>0.33288194444444447</v>
      </c>
      <c r="G317" s="12">
        <v>0.71347222222222217</v>
      </c>
      <c r="H317" s="13">
        <v>9.1341666666666654</v>
      </c>
      <c r="I317" s="14">
        <v>9</v>
      </c>
      <c r="J317" s="15">
        <v>0.13416666666666544</v>
      </c>
      <c r="K317" s="17" t="s">
        <v>115</v>
      </c>
      <c r="O317"/>
      <c r="P317"/>
      <c r="U317" s="1"/>
    </row>
    <row r="318" spans="1:21" x14ac:dyDescent="0.3">
      <c r="A318" s="11">
        <v>10002122</v>
      </c>
      <c r="B318" s="17" t="s">
        <v>46</v>
      </c>
      <c r="C318" s="18" t="s">
        <v>11</v>
      </c>
      <c r="D318" s="9">
        <v>46194</v>
      </c>
      <c r="E318" s="17" t="s">
        <v>113</v>
      </c>
      <c r="F318" s="12"/>
      <c r="G318" s="12"/>
      <c r="H318" s="13">
        <v>0</v>
      </c>
      <c r="I318" s="14">
        <v>0</v>
      </c>
      <c r="J318" s="15">
        <v>0</v>
      </c>
      <c r="K318" s="17" t="s">
        <v>116</v>
      </c>
      <c r="O318"/>
      <c r="P318"/>
      <c r="U318" s="1"/>
    </row>
    <row r="319" spans="1:21" x14ac:dyDescent="0.3">
      <c r="A319" s="11">
        <v>10002122</v>
      </c>
      <c r="B319" s="17" t="s">
        <v>46</v>
      </c>
      <c r="C319" s="18" t="s">
        <v>11</v>
      </c>
      <c r="D319" s="9">
        <v>46195</v>
      </c>
      <c r="E319" s="17" t="s">
        <v>118</v>
      </c>
      <c r="F319" s="12">
        <v>0.35062500000000002</v>
      </c>
      <c r="G319" s="12">
        <v>0.7651041666666667</v>
      </c>
      <c r="H319" s="13">
        <v>9.9474999999999998</v>
      </c>
      <c r="I319" s="14">
        <v>9</v>
      </c>
      <c r="J319" s="15">
        <v>0.94749999999999979</v>
      </c>
      <c r="K319" s="17" t="s">
        <v>115</v>
      </c>
      <c r="O319"/>
      <c r="P319"/>
      <c r="U319" s="1"/>
    </row>
    <row r="320" spans="1:21" x14ac:dyDescent="0.3">
      <c r="A320" s="11">
        <v>10002122</v>
      </c>
      <c r="B320" s="17" t="s">
        <v>46</v>
      </c>
      <c r="C320" s="18" t="s">
        <v>11</v>
      </c>
      <c r="D320" s="9">
        <v>46196</v>
      </c>
      <c r="E320" s="17" t="s">
        <v>119</v>
      </c>
      <c r="F320" s="12">
        <v>0.34319444444444447</v>
      </c>
      <c r="G320" s="12">
        <v>0.77409722222222221</v>
      </c>
      <c r="H320" s="13">
        <v>10.341666666666665</v>
      </c>
      <c r="I320" s="14">
        <v>9</v>
      </c>
      <c r="J320" s="15">
        <v>1.341666666666665</v>
      </c>
      <c r="K320" s="17" t="s">
        <v>115</v>
      </c>
      <c r="O320"/>
      <c r="P320"/>
      <c r="U320" s="1"/>
    </row>
    <row r="321" spans="1:21" x14ac:dyDescent="0.3">
      <c r="A321" s="11">
        <v>10002122</v>
      </c>
      <c r="B321" s="17" t="s">
        <v>46</v>
      </c>
      <c r="C321" s="18" t="s">
        <v>11</v>
      </c>
      <c r="D321" s="9">
        <v>46197</v>
      </c>
      <c r="E321" s="17" t="s">
        <v>123</v>
      </c>
      <c r="F321" s="12">
        <v>0.33709490740740738</v>
      </c>
      <c r="G321" s="12">
        <v>0.75768518518518524</v>
      </c>
      <c r="H321" s="13">
        <v>10.094166666666668</v>
      </c>
      <c r="I321" s="14">
        <v>9</v>
      </c>
      <c r="J321" s="15">
        <v>1.0941666666666681</v>
      </c>
      <c r="K321" s="17" t="s">
        <v>115</v>
      </c>
      <c r="O321"/>
      <c r="P321"/>
      <c r="U321" s="1"/>
    </row>
    <row r="322" spans="1:21" x14ac:dyDescent="0.3">
      <c r="A322" s="11">
        <v>10002122</v>
      </c>
      <c r="B322" s="17" t="s">
        <v>46</v>
      </c>
      <c r="C322" s="18" t="s">
        <v>11</v>
      </c>
      <c r="D322" s="9">
        <v>46198</v>
      </c>
      <c r="E322" s="17" t="s">
        <v>124</v>
      </c>
      <c r="F322" s="12">
        <v>0.35092592592592592</v>
      </c>
      <c r="G322" s="12">
        <v>0.7485532407407407</v>
      </c>
      <c r="H322" s="13">
        <v>9.5430555555555543</v>
      </c>
      <c r="I322" s="14">
        <v>9</v>
      </c>
      <c r="J322" s="15">
        <v>0.54305555555555429</v>
      </c>
      <c r="K322" s="17" t="s">
        <v>115</v>
      </c>
      <c r="O322"/>
      <c r="P322"/>
      <c r="U322" s="1"/>
    </row>
    <row r="323" spans="1:21" x14ac:dyDescent="0.3">
      <c r="A323" s="11">
        <v>10002122</v>
      </c>
      <c r="B323" s="17" t="s">
        <v>46</v>
      </c>
      <c r="C323" s="18" t="s">
        <v>11</v>
      </c>
      <c r="D323" s="9">
        <v>46199</v>
      </c>
      <c r="E323" s="17" t="s">
        <v>125</v>
      </c>
      <c r="F323" s="12">
        <v>0.33567129629629627</v>
      </c>
      <c r="G323" s="12">
        <v>0.51627314814814818</v>
      </c>
      <c r="H323" s="13">
        <v>4.3344444444444452</v>
      </c>
      <c r="I323" s="14">
        <v>4</v>
      </c>
      <c r="J323" s="15">
        <v>0.33444444444444521</v>
      </c>
      <c r="K323" s="17" t="s">
        <v>115</v>
      </c>
      <c r="O323"/>
      <c r="P323"/>
      <c r="U323" s="1"/>
    </row>
    <row r="324" spans="1:21" x14ac:dyDescent="0.3">
      <c r="A324" s="11">
        <v>10002122</v>
      </c>
      <c r="B324" s="17" t="s">
        <v>46</v>
      </c>
      <c r="C324" s="18" t="s">
        <v>11</v>
      </c>
      <c r="D324" s="9">
        <v>46200</v>
      </c>
      <c r="E324" s="17" t="s">
        <v>126</v>
      </c>
      <c r="F324" s="12"/>
      <c r="G324" s="12"/>
      <c r="H324" s="13">
        <v>0</v>
      </c>
      <c r="I324" s="14">
        <v>0</v>
      </c>
      <c r="J324" s="15">
        <v>0</v>
      </c>
      <c r="K324" s="17" t="s">
        <v>116</v>
      </c>
      <c r="O324"/>
      <c r="P324"/>
      <c r="U324" s="1"/>
    </row>
    <row r="325" spans="1:21" x14ac:dyDescent="0.3">
      <c r="A325" s="11">
        <v>10002122</v>
      </c>
      <c r="B325" s="17" t="s">
        <v>46</v>
      </c>
      <c r="C325" s="18" t="s">
        <v>11</v>
      </c>
      <c r="D325" s="9">
        <v>46201</v>
      </c>
      <c r="E325" s="17" t="s">
        <v>113</v>
      </c>
      <c r="F325" s="12"/>
      <c r="G325" s="12"/>
      <c r="H325" s="13">
        <v>0</v>
      </c>
      <c r="I325" s="14">
        <v>0</v>
      </c>
      <c r="J325" s="15">
        <v>0</v>
      </c>
      <c r="K325" s="17" t="s">
        <v>116</v>
      </c>
      <c r="O325"/>
      <c r="P325"/>
      <c r="U325" s="1"/>
    </row>
    <row r="326" spans="1:21" x14ac:dyDescent="0.3">
      <c r="A326" s="11">
        <v>10002122</v>
      </c>
      <c r="B326" s="17" t="s">
        <v>46</v>
      </c>
      <c r="C326" s="18" t="s">
        <v>11</v>
      </c>
      <c r="D326" s="9">
        <v>46202</v>
      </c>
      <c r="E326" s="17" t="s">
        <v>118</v>
      </c>
      <c r="F326" s="12">
        <v>0.34364583333333332</v>
      </c>
      <c r="G326" s="12">
        <v>0.76025462962962964</v>
      </c>
      <c r="H326" s="13">
        <v>9.9986111111111118</v>
      </c>
      <c r="I326" s="14">
        <v>9</v>
      </c>
      <c r="J326" s="15">
        <v>0.99861111111111178</v>
      </c>
      <c r="K326" s="17" t="s">
        <v>115</v>
      </c>
      <c r="O326"/>
      <c r="P326" s="1"/>
      <c r="U326" s="1"/>
    </row>
    <row r="327" spans="1:21" x14ac:dyDescent="0.3">
      <c r="A327" s="11">
        <v>10002180</v>
      </c>
      <c r="B327" s="17" t="s">
        <v>29</v>
      </c>
      <c r="C327" s="18" t="s">
        <v>14</v>
      </c>
      <c r="D327" s="9">
        <v>46194</v>
      </c>
      <c r="E327" s="17" t="s">
        <v>113</v>
      </c>
      <c r="F327" s="12"/>
      <c r="G327" s="12"/>
      <c r="H327" s="13">
        <v>0</v>
      </c>
      <c r="I327" s="14">
        <v>0</v>
      </c>
      <c r="J327" s="15">
        <v>0</v>
      </c>
      <c r="K327" s="17" t="s">
        <v>116</v>
      </c>
      <c r="O327"/>
      <c r="P327" s="1"/>
      <c r="U327" s="1"/>
    </row>
    <row r="328" spans="1:21" x14ac:dyDescent="0.3">
      <c r="A328" s="11">
        <v>10002180</v>
      </c>
      <c r="B328" s="17" t="s">
        <v>29</v>
      </c>
      <c r="C328" s="18" t="s">
        <v>14</v>
      </c>
      <c r="D328" s="9">
        <v>46195</v>
      </c>
      <c r="E328" s="17" t="s">
        <v>118</v>
      </c>
      <c r="F328" s="12"/>
      <c r="G328" s="12"/>
      <c r="H328" s="13">
        <v>0</v>
      </c>
      <c r="I328" s="14">
        <v>9</v>
      </c>
      <c r="J328" s="15">
        <v>-9</v>
      </c>
      <c r="K328" s="17" t="s">
        <v>68</v>
      </c>
      <c r="O328"/>
      <c r="P328" s="1"/>
      <c r="U328" s="1"/>
    </row>
    <row r="329" spans="1:21" x14ac:dyDescent="0.3">
      <c r="A329" s="11">
        <v>10002180</v>
      </c>
      <c r="B329" s="17" t="s">
        <v>29</v>
      </c>
      <c r="C329" s="18" t="s">
        <v>14</v>
      </c>
      <c r="D329" s="9">
        <v>46196</v>
      </c>
      <c r="E329" s="17" t="s">
        <v>119</v>
      </c>
      <c r="F329" s="12"/>
      <c r="G329" s="12"/>
      <c r="H329" s="13">
        <v>0</v>
      </c>
      <c r="I329" s="14">
        <v>9</v>
      </c>
      <c r="J329" s="15">
        <v>-9</v>
      </c>
      <c r="K329" s="17" t="s">
        <v>68</v>
      </c>
      <c r="O329"/>
      <c r="P329" s="1"/>
      <c r="U329" s="1"/>
    </row>
    <row r="330" spans="1:21" x14ac:dyDescent="0.3">
      <c r="A330" s="11">
        <v>10002180</v>
      </c>
      <c r="B330" s="17" t="s">
        <v>29</v>
      </c>
      <c r="C330" s="18" t="s">
        <v>14</v>
      </c>
      <c r="D330" s="9">
        <v>46197</v>
      </c>
      <c r="E330" s="17" t="s">
        <v>123</v>
      </c>
      <c r="F330" s="12"/>
      <c r="G330" s="12"/>
      <c r="H330" s="13">
        <v>0</v>
      </c>
      <c r="I330" s="14">
        <v>9</v>
      </c>
      <c r="J330" s="15">
        <v>-9</v>
      </c>
      <c r="K330" s="17" t="s">
        <v>68</v>
      </c>
      <c r="O330"/>
      <c r="P330" s="1"/>
      <c r="U330" s="1"/>
    </row>
    <row r="331" spans="1:21" x14ac:dyDescent="0.3">
      <c r="A331" s="11">
        <v>10002180</v>
      </c>
      <c r="B331" s="17" t="s">
        <v>29</v>
      </c>
      <c r="C331" s="18" t="s">
        <v>14</v>
      </c>
      <c r="D331" s="9">
        <v>46198</v>
      </c>
      <c r="E331" s="17" t="s">
        <v>124</v>
      </c>
      <c r="F331" s="12"/>
      <c r="G331" s="12"/>
      <c r="H331" s="13">
        <v>0</v>
      </c>
      <c r="I331" s="14">
        <v>9</v>
      </c>
      <c r="J331" s="15">
        <v>-9</v>
      </c>
      <c r="K331" s="17" t="s">
        <v>68</v>
      </c>
      <c r="O331"/>
      <c r="P331" s="1"/>
      <c r="U331" s="1"/>
    </row>
    <row r="332" spans="1:21" x14ac:dyDescent="0.3">
      <c r="A332" s="11">
        <v>10002180</v>
      </c>
      <c r="B332" s="17" t="s">
        <v>29</v>
      </c>
      <c r="C332" s="18" t="s">
        <v>14</v>
      </c>
      <c r="D332" s="9">
        <v>46199</v>
      </c>
      <c r="E332" s="17" t="s">
        <v>125</v>
      </c>
      <c r="F332" s="12"/>
      <c r="G332" s="12"/>
      <c r="H332" s="13">
        <v>0</v>
      </c>
      <c r="I332" s="14">
        <v>4</v>
      </c>
      <c r="J332" s="15">
        <v>-4</v>
      </c>
      <c r="K332" s="17" t="s">
        <v>68</v>
      </c>
      <c r="O332"/>
      <c r="P332" s="1"/>
      <c r="U332" s="1"/>
    </row>
    <row r="333" spans="1:21" x14ac:dyDescent="0.3">
      <c r="A333" s="11">
        <v>10002180</v>
      </c>
      <c r="B333" s="17" t="s">
        <v>29</v>
      </c>
      <c r="C333" s="18" t="s">
        <v>14</v>
      </c>
      <c r="D333" s="9">
        <v>46200</v>
      </c>
      <c r="E333" s="17" t="s">
        <v>126</v>
      </c>
      <c r="F333" s="12"/>
      <c r="G333" s="12"/>
      <c r="H333" s="13">
        <v>0</v>
      </c>
      <c r="I333" s="14">
        <v>0</v>
      </c>
      <c r="J333" s="15">
        <v>0</v>
      </c>
      <c r="K333" s="17" t="s">
        <v>116</v>
      </c>
      <c r="O333"/>
      <c r="P333" s="1"/>
      <c r="U333" s="1"/>
    </row>
    <row r="334" spans="1:21" x14ac:dyDescent="0.3">
      <c r="A334" s="11">
        <v>10002180</v>
      </c>
      <c r="B334" s="17" t="s">
        <v>29</v>
      </c>
      <c r="C334" s="18" t="s">
        <v>14</v>
      </c>
      <c r="D334" s="9">
        <v>46201</v>
      </c>
      <c r="E334" s="17" t="s">
        <v>113</v>
      </c>
      <c r="F334" s="12"/>
      <c r="G334" s="12"/>
      <c r="H334" s="13">
        <v>0</v>
      </c>
      <c r="I334" s="14">
        <v>0</v>
      </c>
      <c r="J334" s="15">
        <v>0</v>
      </c>
      <c r="K334" s="17" t="s">
        <v>116</v>
      </c>
      <c r="O334"/>
      <c r="P334" s="1"/>
      <c r="U334" s="1"/>
    </row>
    <row r="335" spans="1:21" x14ac:dyDescent="0.3">
      <c r="A335" s="11">
        <v>10002180</v>
      </c>
      <c r="B335" s="17" t="s">
        <v>29</v>
      </c>
      <c r="C335" s="18" t="s">
        <v>14</v>
      </c>
      <c r="D335" s="9">
        <v>46202</v>
      </c>
      <c r="E335" s="17" t="s">
        <v>118</v>
      </c>
      <c r="F335" s="12"/>
      <c r="G335" s="12"/>
      <c r="H335" s="13">
        <v>0</v>
      </c>
      <c r="I335" s="14">
        <v>9</v>
      </c>
      <c r="J335" s="15">
        <v>-9</v>
      </c>
      <c r="K335" s="17" t="s">
        <v>68</v>
      </c>
      <c r="O335"/>
      <c r="P335" s="1"/>
      <c r="U335" s="1"/>
    </row>
    <row r="336" spans="1:21" x14ac:dyDescent="0.3">
      <c r="A336" s="11">
        <v>10002195</v>
      </c>
      <c r="B336" s="17" t="s">
        <v>106</v>
      </c>
      <c r="C336" s="18" t="s">
        <v>14</v>
      </c>
      <c r="D336" s="9">
        <v>46194</v>
      </c>
      <c r="E336" s="17" t="s">
        <v>113</v>
      </c>
      <c r="F336" s="12"/>
      <c r="G336" s="12"/>
      <c r="H336" s="13">
        <v>0</v>
      </c>
      <c r="I336" s="14">
        <v>0</v>
      </c>
      <c r="J336" s="15">
        <v>0</v>
      </c>
      <c r="K336" s="17" t="s">
        <v>116</v>
      </c>
      <c r="O336"/>
      <c r="P336" s="1"/>
      <c r="U336" s="1"/>
    </row>
    <row r="337" spans="1:21" x14ac:dyDescent="0.3">
      <c r="A337" s="11">
        <v>10002195</v>
      </c>
      <c r="B337" s="17" t="s">
        <v>106</v>
      </c>
      <c r="C337" s="18" t="s">
        <v>14</v>
      </c>
      <c r="D337" s="9">
        <v>46195</v>
      </c>
      <c r="E337" s="17" t="s">
        <v>118</v>
      </c>
      <c r="F337" s="12">
        <v>0.74851851851851847</v>
      </c>
      <c r="G337" s="12">
        <v>0.74851851851851847</v>
      </c>
      <c r="H337" s="13">
        <v>0</v>
      </c>
      <c r="I337" s="14">
        <v>9</v>
      </c>
      <c r="J337" s="15">
        <v>-9</v>
      </c>
      <c r="K337" s="17" t="s">
        <v>67</v>
      </c>
      <c r="O337"/>
      <c r="P337" s="1"/>
      <c r="U337" s="1"/>
    </row>
    <row r="338" spans="1:21" x14ac:dyDescent="0.3">
      <c r="A338" s="11">
        <v>10002195</v>
      </c>
      <c r="B338" s="17" t="s">
        <v>106</v>
      </c>
      <c r="C338" s="18" t="s">
        <v>14</v>
      </c>
      <c r="D338" s="9">
        <v>46196</v>
      </c>
      <c r="E338" s="17" t="s">
        <v>119</v>
      </c>
      <c r="F338" s="12">
        <v>0.33422453703703703</v>
      </c>
      <c r="G338" s="12">
        <v>0.78091435185185187</v>
      </c>
      <c r="H338" s="13">
        <v>10.720555555555556</v>
      </c>
      <c r="I338" s="14">
        <v>9</v>
      </c>
      <c r="J338" s="15">
        <v>1.7205555555555563</v>
      </c>
      <c r="K338" s="17" t="s">
        <v>115</v>
      </c>
      <c r="O338"/>
      <c r="P338" s="1"/>
      <c r="U338" s="1"/>
    </row>
    <row r="339" spans="1:21" x14ac:dyDescent="0.3">
      <c r="A339" s="11">
        <v>10002195</v>
      </c>
      <c r="B339" s="17" t="s">
        <v>106</v>
      </c>
      <c r="C339" s="18" t="s">
        <v>14</v>
      </c>
      <c r="D339" s="9">
        <v>46197</v>
      </c>
      <c r="E339" s="17" t="s">
        <v>123</v>
      </c>
      <c r="F339" s="12">
        <v>0.73784722222222221</v>
      </c>
      <c r="G339" s="12">
        <v>0.73784722222222221</v>
      </c>
      <c r="H339" s="13">
        <v>0</v>
      </c>
      <c r="I339" s="14">
        <v>9</v>
      </c>
      <c r="J339" s="15">
        <v>-9</v>
      </c>
      <c r="K339" s="17" t="s">
        <v>67</v>
      </c>
      <c r="O339"/>
      <c r="P339" s="1"/>
      <c r="U339" s="1"/>
    </row>
    <row r="340" spans="1:21" x14ac:dyDescent="0.3">
      <c r="A340" s="11">
        <v>10002195</v>
      </c>
      <c r="B340" s="17" t="s">
        <v>106</v>
      </c>
      <c r="C340" s="18" t="s">
        <v>14</v>
      </c>
      <c r="D340" s="9">
        <v>46198</v>
      </c>
      <c r="E340" s="17" t="s">
        <v>124</v>
      </c>
      <c r="F340" s="12">
        <v>0.73354166666666665</v>
      </c>
      <c r="G340" s="12">
        <v>0.73354166666666665</v>
      </c>
      <c r="H340" s="13">
        <v>0</v>
      </c>
      <c r="I340" s="14">
        <v>9</v>
      </c>
      <c r="J340" s="15">
        <v>-9</v>
      </c>
      <c r="K340" s="17" t="s">
        <v>67</v>
      </c>
      <c r="O340"/>
      <c r="P340" s="1"/>
      <c r="U340" s="1"/>
    </row>
    <row r="341" spans="1:21" x14ac:dyDescent="0.3">
      <c r="A341" s="11">
        <v>10002195</v>
      </c>
      <c r="B341" s="17" t="s">
        <v>106</v>
      </c>
      <c r="C341" s="18" t="s">
        <v>14</v>
      </c>
      <c r="D341" s="9">
        <v>46199</v>
      </c>
      <c r="E341" s="17" t="s">
        <v>125</v>
      </c>
      <c r="F341" s="12">
        <v>0.33265046296296297</v>
      </c>
      <c r="G341" s="12">
        <v>0.7510648148148148</v>
      </c>
      <c r="H341" s="13">
        <v>10.041944444444443</v>
      </c>
      <c r="I341" s="14">
        <v>4</v>
      </c>
      <c r="J341" s="15">
        <v>6.041944444444443</v>
      </c>
      <c r="K341" s="17" t="s">
        <v>115</v>
      </c>
      <c r="O341"/>
      <c r="P341" s="1"/>
      <c r="U341" s="1"/>
    </row>
    <row r="342" spans="1:21" x14ac:dyDescent="0.3">
      <c r="A342" s="11">
        <v>10002195</v>
      </c>
      <c r="B342" s="17" t="s">
        <v>106</v>
      </c>
      <c r="C342" s="18" t="s">
        <v>14</v>
      </c>
      <c r="D342" s="9">
        <v>46200</v>
      </c>
      <c r="E342" s="17" t="s">
        <v>126</v>
      </c>
      <c r="F342" s="12">
        <v>0.33731481481481479</v>
      </c>
      <c r="G342" s="12">
        <v>0.71548611111111116</v>
      </c>
      <c r="H342" s="13">
        <v>9.0761111111111124</v>
      </c>
      <c r="I342" s="14">
        <v>0</v>
      </c>
      <c r="J342" s="15">
        <v>9.0761111111111124</v>
      </c>
      <c r="K342" s="17" t="s">
        <v>114</v>
      </c>
      <c r="O342"/>
      <c r="P342" s="1"/>
      <c r="U342" s="1"/>
    </row>
    <row r="343" spans="1:21" x14ac:dyDescent="0.3">
      <c r="A343" s="11">
        <v>10002195</v>
      </c>
      <c r="B343" s="17" t="s">
        <v>106</v>
      </c>
      <c r="C343" s="18" t="s">
        <v>14</v>
      </c>
      <c r="D343" s="9">
        <v>46201</v>
      </c>
      <c r="E343" s="17" t="s">
        <v>113</v>
      </c>
      <c r="F343" s="12"/>
      <c r="G343" s="12"/>
      <c r="H343" s="13">
        <v>0</v>
      </c>
      <c r="I343" s="14">
        <v>0</v>
      </c>
      <c r="J343" s="15">
        <v>0</v>
      </c>
      <c r="K343" s="17" t="s">
        <v>116</v>
      </c>
      <c r="O343"/>
      <c r="P343" s="1"/>
      <c r="U343" s="1"/>
    </row>
    <row r="344" spans="1:21" x14ac:dyDescent="0.3">
      <c r="A344" s="11">
        <v>10002195</v>
      </c>
      <c r="B344" s="17" t="s">
        <v>106</v>
      </c>
      <c r="C344" s="18" t="s">
        <v>14</v>
      </c>
      <c r="D344" s="9">
        <v>46202</v>
      </c>
      <c r="E344" s="17" t="s">
        <v>118</v>
      </c>
      <c r="F344" s="12">
        <v>0.80366898148148147</v>
      </c>
      <c r="G344" s="12">
        <v>0.80366898148148147</v>
      </c>
      <c r="H344" s="13">
        <v>0</v>
      </c>
      <c r="I344" s="14">
        <v>9</v>
      </c>
      <c r="J344" s="15">
        <v>-9</v>
      </c>
      <c r="K344" s="17" t="s">
        <v>67</v>
      </c>
      <c r="O344"/>
      <c r="P344" s="1"/>
      <c r="U344" s="1"/>
    </row>
    <row r="345" spans="1:21" x14ac:dyDescent="0.3">
      <c r="A345" s="11">
        <v>10002217</v>
      </c>
      <c r="B345" s="17" t="s">
        <v>79</v>
      </c>
      <c r="C345" s="18" t="s">
        <v>24</v>
      </c>
      <c r="D345" s="9">
        <v>46194</v>
      </c>
      <c r="E345" s="17" t="s">
        <v>113</v>
      </c>
      <c r="F345" s="12"/>
      <c r="G345" s="12"/>
      <c r="H345" s="13">
        <v>0</v>
      </c>
      <c r="I345" s="14">
        <v>0</v>
      </c>
      <c r="J345" s="15">
        <v>0</v>
      </c>
      <c r="K345" s="17" t="s">
        <v>116</v>
      </c>
      <c r="O345"/>
      <c r="P345" s="1"/>
      <c r="U345" s="1"/>
    </row>
    <row r="346" spans="1:21" x14ac:dyDescent="0.3">
      <c r="A346" s="11">
        <v>10002217</v>
      </c>
      <c r="B346" s="17" t="s">
        <v>79</v>
      </c>
      <c r="C346" s="18" t="s">
        <v>24</v>
      </c>
      <c r="D346" s="9">
        <v>46195</v>
      </c>
      <c r="E346" s="17" t="s">
        <v>118</v>
      </c>
      <c r="F346" s="12">
        <v>0.33493055555555556</v>
      </c>
      <c r="G346" s="12">
        <v>0.73091435185185183</v>
      </c>
      <c r="H346" s="13">
        <v>9.5036111111111108</v>
      </c>
      <c r="I346" s="14">
        <v>9</v>
      </c>
      <c r="J346" s="15">
        <v>0.50361111111111079</v>
      </c>
      <c r="K346" s="17" t="s">
        <v>115</v>
      </c>
      <c r="O346"/>
      <c r="P346" s="1"/>
      <c r="U346" s="1"/>
    </row>
    <row r="347" spans="1:21" x14ac:dyDescent="0.3">
      <c r="A347" s="11">
        <v>10002217</v>
      </c>
      <c r="B347" s="17" t="s">
        <v>79</v>
      </c>
      <c r="C347" s="18" t="s">
        <v>24</v>
      </c>
      <c r="D347" s="9">
        <v>46196</v>
      </c>
      <c r="E347" s="17" t="s">
        <v>119</v>
      </c>
      <c r="F347" s="12">
        <v>0.33906249999999999</v>
      </c>
      <c r="G347" s="12">
        <v>0.72396990740740741</v>
      </c>
      <c r="H347" s="13">
        <v>9.2377777777777776</v>
      </c>
      <c r="I347" s="14">
        <v>9</v>
      </c>
      <c r="J347" s="15">
        <v>0.23777777777777764</v>
      </c>
      <c r="K347" s="17" t="s">
        <v>115</v>
      </c>
      <c r="O347"/>
      <c r="P347" s="1"/>
      <c r="U347" s="1"/>
    </row>
    <row r="348" spans="1:21" x14ac:dyDescent="0.3">
      <c r="A348" s="11">
        <v>10002217</v>
      </c>
      <c r="B348" s="17" t="s">
        <v>79</v>
      </c>
      <c r="C348" s="18" t="s">
        <v>24</v>
      </c>
      <c r="D348" s="9">
        <v>46197</v>
      </c>
      <c r="E348" s="17" t="s">
        <v>123</v>
      </c>
      <c r="F348" s="12">
        <v>0.33611111111111114</v>
      </c>
      <c r="G348" s="12">
        <v>0.72384259259259254</v>
      </c>
      <c r="H348" s="13">
        <v>9.3055555555555536</v>
      </c>
      <c r="I348" s="14">
        <v>9</v>
      </c>
      <c r="J348" s="15">
        <v>0.30555555555555358</v>
      </c>
      <c r="K348" s="17" t="s">
        <v>115</v>
      </c>
      <c r="O348"/>
      <c r="P348" s="1"/>
      <c r="U348" s="1"/>
    </row>
    <row r="349" spans="1:21" x14ac:dyDescent="0.3">
      <c r="A349" s="11">
        <v>10002217</v>
      </c>
      <c r="B349" s="17" t="s">
        <v>79</v>
      </c>
      <c r="C349" s="18" t="s">
        <v>24</v>
      </c>
      <c r="D349" s="9">
        <v>46198</v>
      </c>
      <c r="E349" s="17" t="s">
        <v>124</v>
      </c>
      <c r="F349" s="12">
        <v>0.33236111111111111</v>
      </c>
      <c r="G349" s="12">
        <v>0.72655092592592596</v>
      </c>
      <c r="H349" s="13">
        <v>9.4605555555555565</v>
      </c>
      <c r="I349" s="14">
        <v>9</v>
      </c>
      <c r="J349" s="15">
        <v>0.4605555555555565</v>
      </c>
      <c r="K349" s="17" t="s">
        <v>115</v>
      </c>
      <c r="O349"/>
      <c r="P349" s="1"/>
      <c r="U349" s="1"/>
    </row>
    <row r="350" spans="1:21" x14ac:dyDescent="0.3">
      <c r="A350" s="11">
        <v>10002217</v>
      </c>
      <c r="B350" s="17" t="s">
        <v>79</v>
      </c>
      <c r="C350" s="18" t="s">
        <v>24</v>
      </c>
      <c r="D350" s="9">
        <v>46199</v>
      </c>
      <c r="E350" s="17" t="s">
        <v>125</v>
      </c>
      <c r="F350" s="12">
        <v>0.3379050925925926</v>
      </c>
      <c r="G350" s="12">
        <v>0.50983796296296291</v>
      </c>
      <c r="H350" s="13">
        <v>4.1263888888888873</v>
      </c>
      <c r="I350" s="14">
        <v>4</v>
      </c>
      <c r="J350" s="15">
        <v>0.12638888888888733</v>
      </c>
      <c r="K350" s="17" t="s">
        <v>115</v>
      </c>
      <c r="O350"/>
      <c r="P350" s="1"/>
      <c r="U350" s="1"/>
    </row>
    <row r="351" spans="1:21" x14ac:dyDescent="0.3">
      <c r="A351" s="11">
        <v>10002217</v>
      </c>
      <c r="B351" s="17" t="s">
        <v>79</v>
      </c>
      <c r="C351" s="18" t="s">
        <v>24</v>
      </c>
      <c r="D351" s="9">
        <v>46200</v>
      </c>
      <c r="E351" s="17" t="s">
        <v>126</v>
      </c>
      <c r="F351" s="12"/>
      <c r="G351" s="12"/>
      <c r="H351" s="13">
        <v>0</v>
      </c>
      <c r="I351" s="14">
        <v>0</v>
      </c>
      <c r="J351" s="15">
        <v>0</v>
      </c>
      <c r="K351" s="17" t="s">
        <v>116</v>
      </c>
      <c r="O351"/>
      <c r="P351" s="1"/>
      <c r="U351" s="1"/>
    </row>
    <row r="352" spans="1:21" x14ac:dyDescent="0.3">
      <c r="A352" s="11">
        <v>10002217</v>
      </c>
      <c r="B352" s="17" t="s">
        <v>79</v>
      </c>
      <c r="C352" s="18" t="s">
        <v>24</v>
      </c>
      <c r="D352" s="9">
        <v>46201</v>
      </c>
      <c r="E352" s="17" t="s">
        <v>113</v>
      </c>
      <c r="F352" s="12"/>
      <c r="G352" s="12"/>
      <c r="H352" s="13">
        <v>0</v>
      </c>
      <c r="I352" s="14">
        <v>0</v>
      </c>
      <c r="J352" s="15">
        <v>0</v>
      </c>
      <c r="K352" s="17" t="s">
        <v>116</v>
      </c>
      <c r="O352"/>
      <c r="P352" s="1"/>
      <c r="U352" s="1"/>
    </row>
    <row r="353" spans="1:21" x14ac:dyDescent="0.3">
      <c r="A353" s="11">
        <v>10002217</v>
      </c>
      <c r="B353" s="17" t="s">
        <v>79</v>
      </c>
      <c r="C353" s="18" t="s">
        <v>24</v>
      </c>
      <c r="D353" s="9">
        <v>46202</v>
      </c>
      <c r="E353" s="17" t="s">
        <v>118</v>
      </c>
      <c r="F353" s="12">
        <v>0.34033564814814815</v>
      </c>
      <c r="G353" s="12">
        <v>0.72297453703703707</v>
      </c>
      <c r="H353" s="13">
        <v>9.1833333333333336</v>
      </c>
      <c r="I353" s="14">
        <v>9</v>
      </c>
      <c r="J353" s="15">
        <v>0.18333333333333357</v>
      </c>
      <c r="K353" s="17" t="s">
        <v>115</v>
      </c>
      <c r="O353"/>
      <c r="P353" s="1"/>
      <c r="U353" s="1"/>
    </row>
    <row r="354" spans="1:21" x14ac:dyDescent="0.3">
      <c r="A354" s="11">
        <v>10002218</v>
      </c>
      <c r="B354" s="17" t="s">
        <v>42</v>
      </c>
      <c r="C354" s="18" t="s">
        <v>13</v>
      </c>
      <c r="D354" s="9">
        <v>46194</v>
      </c>
      <c r="E354" s="17" t="s">
        <v>113</v>
      </c>
      <c r="F354" s="12"/>
      <c r="G354" s="12"/>
      <c r="H354" s="13">
        <v>0</v>
      </c>
      <c r="I354" s="14">
        <v>8.5</v>
      </c>
      <c r="J354" s="15">
        <v>-8.5</v>
      </c>
      <c r="K354" s="17" t="s">
        <v>68</v>
      </c>
      <c r="O354"/>
      <c r="P354" s="1"/>
      <c r="U354" s="1"/>
    </row>
    <row r="355" spans="1:21" x14ac:dyDescent="0.3">
      <c r="A355" s="11">
        <v>10002218</v>
      </c>
      <c r="B355" s="17" t="s">
        <v>42</v>
      </c>
      <c r="C355" s="18" t="s">
        <v>13</v>
      </c>
      <c r="D355" s="9">
        <v>46195</v>
      </c>
      <c r="E355" s="17" t="s">
        <v>118</v>
      </c>
      <c r="F355" s="12"/>
      <c r="G355" s="12"/>
      <c r="H355" s="13">
        <v>0</v>
      </c>
      <c r="I355" s="14">
        <v>8.5</v>
      </c>
      <c r="J355" s="15">
        <v>-8.5</v>
      </c>
      <c r="K355" s="17" t="s">
        <v>68</v>
      </c>
      <c r="O355"/>
      <c r="P355" s="1"/>
      <c r="U355" s="1"/>
    </row>
    <row r="356" spans="1:21" x14ac:dyDescent="0.3">
      <c r="A356" s="11">
        <v>10002218</v>
      </c>
      <c r="B356" s="17" t="s">
        <v>42</v>
      </c>
      <c r="C356" s="18" t="s">
        <v>13</v>
      </c>
      <c r="D356" s="9">
        <v>46196</v>
      </c>
      <c r="E356" s="17" t="s">
        <v>119</v>
      </c>
      <c r="F356" s="12"/>
      <c r="G356" s="12"/>
      <c r="H356" s="13">
        <v>0</v>
      </c>
      <c r="I356" s="14">
        <v>8.5</v>
      </c>
      <c r="J356" s="15">
        <v>-8.5</v>
      </c>
      <c r="K356" s="17" t="s">
        <v>68</v>
      </c>
      <c r="O356"/>
      <c r="P356" s="1"/>
      <c r="U356" s="1"/>
    </row>
    <row r="357" spans="1:21" x14ac:dyDescent="0.3">
      <c r="A357" s="11">
        <v>10002218</v>
      </c>
      <c r="B357" s="17" t="s">
        <v>42</v>
      </c>
      <c r="C357" s="18" t="s">
        <v>13</v>
      </c>
      <c r="D357" s="9">
        <v>46197</v>
      </c>
      <c r="E357" s="17" t="s">
        <v>123</v>
      </c>
      <c r="F357" s="12"/>
      <c r="G357" s="12"/>
      <c r="H357" s="13">
        <v>0</v>
      </c>
      <c r="I357" s="14">
        <v>8.5</v>
      </c>
      <c r="J357" s="15">
        <v>-8.5</v>
      </c>
      <c r="K357" s="17" t="s">
        <v>68</v>
      </c>
      <c r="O357"/>
      <c r="P357" s="1"/>
      <c r="U357" s="1"/>
    </row>
    <row r="358" spans="1:21" x14ac:dyDescent="0.3">
      <c r="A358" s="11">
        <v>10002218</v>
      </c>
      <c r="B358" s="17" t="s">
        <v>42</v>
      </c>
      <c r="C358" s="18" t="s">
        <v>13</v>
      </c>
      <c r="D358" s="9">
        <v>46198</v>
      </c>
      <c r="E358" s="17" t="s">
        <v>124</v>
      </c>
      <c r="F358" s="12"/>
      <c r="G358" s="12"/>
      <c r="H358" s="13">
        <v>0</v>
      </c>
      <c r="I358" s="14">
        <v>8.5</v>
      </c>
      <c r="J358" s="15">
        <v>-8.5</v>
      </c>
      <c r="K358" s="17" t="s">
        <v>68</v>
      </c>
      <c r="O358"/>
      <c r="P358" s="1"/>
      <c r="U358" s="1"/>
    </row>
    <row r="359" spans="1:21" x14ac:dyDescent="0.3">
      <c r="A359" s="11">
        <v>10002218</v>
      </c>
      <c r="B359" s="17" t="s">
        <v>42</v>
      </c>
      <c r="C359" s="18" t="s">
        <v>13</v>
      </c>
      <c r="D359" s="9">
        <v>46199</v>
      </c>
      <c r="E359" s="17" t="s">
        <v>125</v>
      </c>
      <c r="F359" s="12"/>
      <c r="G359" s="12"/>
      <c r="H359" s="13">
        <v>0</v>
      </c>
      <c r="I359" s="14">
        <v>3</v>
      </c>
      <c r="J359" s="15">
        <v>-3</v>
      </c>
      <c r="K359" s="17" t="s">
        <v>68</v>
      </c>
      <c r="O359"/>
      <c r="P359" s="1"/>
      <c r="U359" s="1"/>
    </row>
    <row r="360" spans="1:21" x14ac:dyDescent="0.3">
      <c r="A360" s="11">
        <v>10002218</v>
      </c>
      <c r="B360" s="17" t="s">
        <v>42</v>
      </c>
      <c r="C360" s="18" t="s">
        <v>13</v>
      </c>
      <c r="D360" s="9">
        <v>46200</v>
      </c>
      <c r="E360" s="17" t="s">
        <v>126</v>
      </c>
      <c r="F360" s="12"/>
      <c r="G360" s="12"/>
      <c r="H360" s="13">
        <v>0</v>
      </c>
      <c r="I360" s="14">
        <v>0</v>
      </c>
      <c r="J360" s="15">
        <v>0</v>
      </c>
      <c r="K360" s="17" t="s">
        <v>116</v>
      </c>
      <c r="O360"/>
      <c r="P360" s="1"/>
      <c r="U360" s="1"/>
    </row>
    <row r="361" spans="1:21" x14ac:dyDescent="0.3">
      <c r="A361" s="11">
        <v>10002218</v>
      </c>
      <c r="B361" s="17" t="s">
        <v>42</v>
      </c>
      <c r="C361" s="18" t="s">
        <v>13</v>
      </c>
      <c r="D361" s="9">
        <v>46201</v>
      </c>
      <c r="E361" s="17" t="s">
        <v>113</v>
      </c>
      <c r="F361" s="12"/>
      <c r="G361" s="12"/>
      <c r="H361" s="13">
        <v>0</v>
      </c>
      <c r="I361" s="14">
        <v>8.5</v>
      </c>
      <c r="J361" s="15">
        <v>-8.5</v>
      </c>
      <c r="K361" s="17" t="s">
        <v>68</v>
      </c>
      <c r="O361"/>
      <c r="P361" s="1"/>
      <c r="U361" s="1"/>
    </row>
    <row r="362" spans="1:21" x14ac:dyDescent="0.3">
      <c r="A362" s="11">
        <v>10002218</v>
      </c>
      <c r="B362" s="17" t="s">
        <v>42</v>
      </c>
      <c r="C362" s="18" t="s">
        <v>13</v>
      </c>
      <c r="D362" s="9">
        <v>46202</v>
      </c>
      <c r="E362" s="17" t="s">
        <v>118</v>
      </c>
      <c r="F362" s="12"/>
      <c r="G362" s="12"/>
      <c r="H362" s="13">
        <v>0</v>
      </c>
      <c r="I362" s="14">
        <v>8.5</v>
      </c>
      <c r="J362" s="15">
        <v>-8.5</v>
      </c>
      <c r="K362" s="17" t="s">
        <v>68</v>
      </c>
      <c r="O362"/>
      <c r="P362" s="1"/>
      <c r="U362" s="1"/>
    </row>
    <row r="363" spans="1:21" x14ac:dyDescent="0.3">
      <c r="A363" s="11">
        <v>10002219</v>
      </c>
      <c r="B363" s="17" t="s">
        <v>80</v>
      </c>
      <c r="C363" s="18" t="s">
        <v>11</v>
      </c>
      <c r="D363" s="9">
        <v>46194</v>
      </c>
      <c r="E363" s="17" t="s">
        <v>113</v>
      </c>
      <c r="F363" s="12"/>
      <c r="G363" s="12"/>
      <c r="H363" s="13">
        <v>0</v>
      </c>
      <c r="I363" s="14">
        <v>0</v>
      </c>
      <c r="J363" s="15">
        <v>0</v>
      </c>
      <c r="K363" s="17" t="s">
        <v>116</v>
      </c>
      <c r="O363"/>
      <c r="P363" s="1"/>
      <c r="U363" s="1"/>
    </row>
    <row r="364" spans="1:21" x14ac:dyDescent="0.3">
      <c r="A364" s="11">
        <v>10002219</v>
      </c>
      <c r="B364" s="17" t="s">
        <v>80</v>
      </c>
      <c r="C364" s="18" t="s">
        <v>11</v>
      </c>
      <c r="D364" s="9">
        <v>46195</v>
      </c>
      <c r="E364" s="17" t="s">
        <v>118</v>
      </c>
      <c r="F364" s="12">
        <v>0.27231481481481479</v>
      </c>
      <c r="G364" s="12">
        <v>0.71604166666666669</v>
      </c>
      <c r="H364" s="13">
        <v>10.649444444444445</v>
      </c>
      <c r="I364" s="14">
        <v>9</v>
      </c>
      <c r="J364" s="15">
        <v>1.6494444444444447</v>
      </c>
      <c r="K364" s="17" t="s">
        <v>115</v>
      </c>
      <c r="O364"/>
      <c r="P364" s="1"/>
      <c r="U364" s="1"/>
    </row>
    <row r="365" spans="1:21" x14ac:dyDescent="0.3">
      <c r="A365" s="11">
        <v>10002219</v>
      </c>
      <c r="B365" s="17" t="s">
        <v>80</v>
      </c>
      <c r="C365" s="18" t="s">
        <v>11</v>
      </c>
      <c r="D365" s="9">
        <v>46196</v>
      </c>
      <c r="E365" s="17" t="s">
        <v>119</v>
      </c>
      <c r="F365" s="12">
        <v>0.23269675925925926</v>
      </c>
      <c r="G365" s="12">
        <v>0.71903935185185186</v>
      </c>
      <c r="H365" s="13">
        <v>11.672222222222222</v>
      </c>
      <c r="I365" s="14">
        <v>9</v>
      </c>
      <c r="J365" s="15">
        <v>2.6722222222222225</v>
      </c>
      <c r="K365" s="17" t="s">
        <v>115</v>
      </c>
      <c r="O365"/>
      <c r="P365" s="1"/>
      <c r="U365" s="1"/>
    </row>
    <row r="366" spans="1:21" x14ac:dyDescent="0.3">
      <c r="A366" s="11">
        <v>10002219</v>
      </c>
      <c r="B366" s="17" t="s">
        <v>80</v>
      </c>
      <c r="C366" s="18" t="s">
        <v>11</v>
      </c>
      <c r="D366" s="9">
        <v>46197</v>
      </c>
      <c r="E366" s="17" t="s">
        <v>123</v>
      </c>
      <c r="F366" s="12">
        <v>0.24171296296296296</v>
      </c>
      <c r="G366" s="12">
        <v>0.71190972222222226</v>
      </c>
      <c r="H366" s="13">
        <v>11.284722222222223</v>
      </c>
      <c r="I366" s="14">
        <v>9</v>
      </c>
      <c r="J366" s="15">
        <v>2.2847222222222232</v>
      </c>
      <c r="K366" s="17" t="s">
        <v>115</v>
      </c>
      <c r="O366"/>
      <c r="P366" s="1"/>
      <c r="U366" s="1"/>
    </row>
    <row r="367" spans="1:21" x14ac:dyDescent="0.3">
      <c r="A367" s="11">
        <v>10002219</v>
      </c>
      <c r="B367" s="17" t="s">
        <v>80</v>
      </c>
      <c r="C367" s="18" t="s">
        <v>11</v>
      </c>
      <c r="D367" s="9">
        <v>46198</v>
      </c>
      <c r="E367" s="17" t="s">
        <v>124</v>
      </c>
      <c r="F367" s="12">
        <v>0.24692129629629631</v>
      </c>
      <c r="G367" s="12">
        <v>0.71567129629629633</v>
      </c>
      <c r="H367" s="13">
        <v>11.25</v>
      </c>
      <c r="I367" s="14">
        <v>9</v>
      </c>
      <c r="J367" s="15">
        <v>2.25</v>
      </c>
      <c r="K367" s="17" t="s">
        <v>115</v>
      </c>
      <c r="O367"/>
      <c r="P367" s="1"/>
      <c r="U367" s="1"/>
    </row>
    <row r="368" spans="1:21" x14ac:dyDescent="0.3">
      <c r="A368" s="11">
        <v>10002219</v>
      </c>
      <c r="B368" s="17" t="s">
        <v>80</v>
      </c>
      <c r="C368" s="18" t="s">
        <v>11</v>
      </c>
      <c r="D368" s="9">
        <v>46199</v>
      </c>
      <c r="E368" s="17" t="s">
        <v>125</v>
      </c>
      <c r="F368" s="12">
        <v>0.25967592592592592</v>
      </c>
      <c r="G368" s="12">
        <v>0.50518518518518518</v>
      </c>
      <c r="H368" s="13">
        <v>5.8922222222222222</v>
      </c>
      <c r="I368" s="14">
        <v>4</v>
      </c>
      <c r="J368" s="15">
        <v>1.8922222222222222</v>
      </c>
      <c r="K368" s="17" t="s">
        <v>115</v>
      </c>
      <c r="O368"/>
      <c r="P368" s="1"/>
      <c r="U368" s="1"/>
    </row>
    <row r="369" spans="1:21" x14ac:dyDescent="0.3">
      <c r="A369" s="11">
        <v>10002219</v>
      </c>
      <c r="B369" s="17" t="s">
        <v>80</v>
      </c>
      <c r="C369" s="18" t="s">
        <v>11</v>
      </c>
      <c r="D369" s="9">
        <v>46200</v>
      </c>
      <c r="E369" s="17" t="s">
        <v>126</v>
      </c>
      <c r="F369" s="12"/>
      <c r="G369" s="12"/>
      <c r="H369" s="13">
        <v>0</v>
      </c>
      <c r="I369" s="14">
        <v>0</v>
      </c>
      <c r="J369" s="15">
        <v>0</v>
      </c>
      <c r="K369" s="17" t="s">
        <v>116</v>
      </c>
      <c r="O369"/>
      <c r="P369" s="1"/>
      <c r="U369" s="1"/>
    </row>
    <row r="370" spans="1:21" x14ac:dyDescent="0.3">
      <c r="A370" s="11">
        <v>10002219</v>
      </c>
      <c r="B370" s="17" t="s">
        <v>80</v>
      </c>
      <c r="C370" s="18" t="s">
        <v>11</v>
      </c>
      <c r="D370" s="9">
        <v>46201</v>
      </c>
      <c r="E370" s="17" t="s">
        <v>113</v>
      </c>
      <c r="F370" s="12"/>
      <c r="G370" s="12"/>
      <c r="H370" s="13">
        <v>0</v>
      </c>
      <c r="I370" s="14">
        <v>0</v>
      </c>
      <c r="J370" s="15">
        <v>0</v>
      </c>
      <c r="K370" s="17" t="s">
        <v>116</v>
      </c>
      <c r="O370"/>
      <c r="P370" s="1"/>
      <c r="U370" s="1"/>
    </row>
    <row r="371" spans="1:21" x14ac:dyDescent="0.3">
      <c r="A371" s="11">
        <v>10002219</v>
      </c>
      <c r="B371" s="17" t="s">
        <v>80</v>
      </c>
      <c r="C371" s="18" t="s">
        <v>11</v>
      </c>
      <c r="D371" s="9">
        <v>46202</v>
      </c>
      <c r="E371" s="17" t="s">
        <v>118</v>
      </c>
      <c r="F371" s="12">
        <v>0.28460648148148149</v>
      </c>
      <c r="G371" s="12">
        <v>0.71663194444444445</v>
      </c>
      <c r="H371" s="13">
        <v>10.368611111111111</v>
      </c>
      <c r="I371" s="14">
        <v>9</v>
      </c>
      <c r="J371" s="15">
        <v>1.368611111111111</v>
      </c>
      <c r="K371" s="17" t="s">
        <v>115</v>
      </c>
      <c r="O371"/>
      <c r="P371" s="1"/>
      <c r="U371" s="1"/>
    </row>
    <row r="372" spans="1:21" x14ac:dyDescent="0.3">
      <c r="A372" s="11">
        <v>10002224</v>
      </c>
      <c r="B372" s="17" t="s">
        <v>102</v>
      </c>
      <c r="C372" s="18" t="s">
        <v>14</v>
      </c>
      <c r="D372" s="9">
        <v>46194</v>
      </c>
      <c r="E372" s="17" t="s">
        <v>113</v>
      </c>
      <c r="F372" s="12"/>
      <c r="G372" s="12"/>
      <c r="H372" s="13">
        <v>0</v>
      </c>
      <c r="I372" s="14">
        <v>0</v>
      </c>
      <c r="J372" s="15">
        <v>0</v>
      </c>
      <c r="K372" s="17" t="s">
        <v>116</v>
      </c>
      <c r="O372"/>
      <c r="P372" s="1"/>
      <c r="U372" s="1"/>
    </row>
    <row r="373" spans="1:21" x14ac:dyDescent="0.3">
      <c r="A373" s="11">
        <v>10002224</v>
      </c>
      <c r="B373" s="17" t="s">
        <v>102</v>
      </c>
      <c r="C373" s="18" t="s">
        <v>14</v>
      </c>
      <c r="D373" s="9">
        <v>46195</v>
      </c>
      <c r="E373" s="17" t="s">
        <v>118</v>
      </c>
      <c r="F373" s="12">
        <v>0.74799768518518517</v>
      </c>
      <c r="G373" s="12">
        <v>0.74799768518518517</v>
      </c>
      <c r="H373" s="13">
        <v>0</v>
      </c>
      <c r="I373" s="14">
        <v>9</v>
      </c>
      <c r="J373" s="15">
        <v>-9</v>
      </c>
      <c r="K373" s="17" t="s">
        <v>67</v>
      </c>
      <c r="O373"/>
      <c r="P373" s="1"/>
      <c r="U373" s="1"/>
    </row>
    <row r="374" spans="1:21" x14ac:dyDescent="0.3">
      <c r="A374" s="11">
        <v>10002224</v>
      </c>
      <c r="B374" s="17" t="s">
        <v>102</v>
      </c>
      <c r="C374" s="18" t="s">
        <v>14</v>
      </c>
      <c r="D374" s="9">
        <v>46196</v>
      </c>
      <c r="E374" s="17" t="s">
        <v>119</v>
      </c>
      <c r="F374" s="12">
        <v>0.78252314814814816</v>
      </c>
      <c r="G374" s="12">
        <v>0.78252314814814816</v>
      </c>
      <c r="H374" s="13">
        <v>0</v>
      </c>
      <c r="I374" s="14">
        <v>9</v>
      </c>
      <c r="J374" s="15">
        <v>-9</v>
      </c>
      <c r="K374" s="17" t="s">
        <v>67</v>
      </c>
      <c r="O374"/>
      <c r="P374" s="1"/>
      <c r="U374" s="1"/>
    </row>
    <row r="375" spans="1:21" x14ac:dyDescent="0.3">
      <c r="A375" s="11">
        <v>10002224</v>
      </c>
      <c r="B375" s="17" t="s">
        <v>102</v>
      </c>
      <c r="C375" s="18" t="s">
        <v>14</v>
      </c>
      <c r="D375" s="9">
        <v>46197</v>
      </c>
      <c r="E375" s="17" t="s">
        <v>123</v>
      </c>
      <c r="F375" s="12"/>
      <c r="G375" s="12"/>
      <c r="H375" s="13">
        <v>0</v>
      </c>
      <c r="I375" s="14">
        <v>9</v>
      </c>
      <c r="J375" s="15">
        <v>-9</v>
      </c>
      <c r="K375" s="17" t="s">
        <v>68</v>
      </c>
      <c r="O375"/>
      <c r="P375" s="1"/>
      <c r="U375" s="1"/>
    </row>
    <row r="376" spans="1:21" x14ac:dyDescent="0.3">
      <c r="A376" s="11">
        <v>10002224</v>
      </c>
      <c r="B376" s="17" t="s">
        <v>102</v>
      </c>
      <c r="C376" s="18" t="s">
        <v>14</v>
      </c>
      <c r="D376" s="9">
        <v>46198</v>
      </c>
      <c r="E376" s="17" t="s">
        <v>124</v>
      </c>
      <c r="F376" s="12">
        <v>0.73109953703703701</v>
      </c>
      <c r="G376" s="12">
        <v>0.73109953703703701</v>
      </c>
      <c r="H376" s="13">
        <v>0</v>
      </c>
      <c r="I376" s="14">
        <v>9</v>
      </c>
      <c r="J376" s="15">
        <v>-9</v>
      </c>
      <c r="K376" s="17" t="s">
        <v>67</v>
      </c>
      <c r="P376" s="1"/>
      <c r="U376" s="1"/>
    </row>
    <row r="377" spans="1:21" x14ac:dyDescent="0.3">
      <c r="A377" s="11">
        <v>10002224</v>
      </c>
      <c r="B377" s="17" t="s">
        <v>102</v>
      </c>
      <c r="C377" s="18" t="s">
        <v>14</v>
      </c>
      <c r="D377" s="9">
        <v>46199</v>
      </c>
      <c r="E377" s="17" t="s">
        <v>125</v>
      </c>
      <c r="F377" s="12">
        <v>0.33259259259259261</v>
      </c>
      <c r="G377" s="12">
        <v>0.7472685185185185</v>
      </c>
      <c r="H377" s="13">
        <v>9.9522222222222219</v>
      </c>
      <c r="I377" s="14">
        <v>4</v>
      </c>
      <c r="J377" s="15">
        <v>5.9522222222222219</v>
      </c>
      <c r="K377" s="17" t="s">
        <v>115</v>
      </c>
      <c r="P377" s="1"/>
      <c r="U377" s="1"/>
    </row>
    <row r="378" spans="1:21" x14ac:dyDescent="0.3">
      <c r="A378" s="11">
        <v>10002224</v>
      </c>
      <c r="B378" s="17" t="s">
        <v>102</v>
      </c>
      <c r="C378" s="18" t="s">
        <v>14</v>
      </c>
      <c r="D378" s="9">
        <v>46200</v>
      </c>
      <c r="E378" s="17" t="s">
        <v>126</v>
      </c>
      <c r="F378" s="12">
        <v>0.33686342592592594</v>
      </c>
      <c r="G378" s="12">
        <v>0.71420138888888884</v>
      </c>
      <c r="H378" s="13">
        <v>9.0561111111111092</v>
      </c>
      <c r="I378" s="14">
        <v>0</v>
      </c>
      <c r="J378" s="15">
        <v>9.0561111111111092</v>
      </c>
      <c r="K378" s="17" t="s">
        <v>114</v>
      </c>
      <c r="P378" s="1"/>
      <c r="U378" s="1"/>
    </row>
    <row r="379" spans="1:21" x14ac:dyDescent="0.3">
      <c r="A379" s="11">
        <v>10002224</v>
      </c>
      <c r="B379" s="17" t="s">
        <v>102</v>
      </c>
      <c r="C379" s="18" t="s">
        <v>14</v>
      </c>
      <c r="D379" s="9">
        <v>46201</v>
      </c>
      <c r="E379" s="17" t="s">
        <v>113</v>
      </c>
      <c r="F379" s="12"/>
      <c r="G379" s="12"/>
      <c r="H379" s="13">
        <v>0</v>
      </c>
      <c r="I379" s="14">
        <v>0</v>
      </c>
      <c r="J379" s="15">
        <v>0</v>
      </c>
      <c r="K379" s="17" t="s">
        <v>116</v>
      </c>
      <c r="P379" s="1"/>
      <c r="U379" s="1"/>
    </row>
    <row r="380" spans="1:21" x14ac:dyDescent="0.3">
      <c r="A380" s="11">
        <v>10002224</v>
      </c>
      <c r="B380" s="17" t="s">
        <v>102</v>
      </c>
      <c r="C380" s="18" t="s">
        <v>14</v>
      </c>
      <c r="D380" s="9">
        <v>46202</v>
      </c>
      <c r="E380" s="17" t="s">
        <v>118</v>
      </c>
      <c r="F380" s="12">
        <v>0.80299768518518522</v>
      </c>
      <c r="G380" s="12">
        <v>0.80299768518518522</v>
      </c>
      <c r="H380" s="13">
        <v>0</v>
      </c>
      <c r="I380" s="14">
        <v>9</v>
      </c>
      <c r="J380" s="15">
        <v>-9</v>
      </c>
      <c r="K380" s="17" t="s">
        <v>67</v>
      </c>
      <c r="P380" s="1"/>
      <c r="U380" s="1"/>
    </row>
    <row r="381" spans="1:21" x14ac:dyDescent="0.3">
      <c r="A381" s="11">
        <v>10002229</v>
      </c>
      <c r="B381" s="17" t="s">
        <v>30</v>
      </c>
      <c r="C381" s="18" t="s">
        <v>13</v>
      </c>
      <c r="D381" s="9">
        <v>46194</v>
      </c>
      <c r="E381" s="17" t="s">
        <v>113</v>
      </c>
      <c r="F381" s="12">
        <v>0.3051388888888889</v>
      </c>
      <c r="G381" s="12">
        <v>0.70519675925925929</v>
      </c>
      <c r="H381" s="13">
        <v>9.6013888888888896</v>
      </c>
      <c r="I381" s="14">
        <v>8.5</v>
      </c>
      <c r="J381" s="15">
        <v>1.1013888888888896</v>
      </c>
      <c r="K381" s="17" t="s">
        <v>115</v>
      </c>
      <c r="P381" s="1"/>
      <c r="U381" s="1"/>
    </row>
    <row r="382" spans="1:21" x14ac:dyDescent="0.3">
      <c r="A382" s="11">
        <v>10002229</v>
      </c>
      <c r="B382" s="17" t="s">
        <v>30</v>
      </c>
      <c r="C382" s="18" t="s">
        <v>13</v>
      </c>
      <c r="D382" s="9">
        <v>46195</v>
      </c>
      <c r="E382" s="17" t="s">
        <v>118</v>
      </c>
      <c r="F382" s="12">
        <v>0.35817129629629629</v>
      </c>
      <c r="G382" s="12">
        <v>0.87747685185185187</v>
      </c>
      <c r="H382" s="13">
        <v>12.463333333333335</v>
      </c>
      <c r="I382" s="14">
        <v>8.5</v>
      </c>
      <c r="J382" s="15">
        <v>3.9633333333333347</v>
      </c>
      <c r="K382" s="17" t="s">
        <v>120</v>
      </c>
      <c r="P382" s="1"/>
      <c r="U382" s="1"/>
    </row>
    <row r="383" spans="1:21" x14ac:dyDescent="0.3">
      <c r="A383" s="11">
        <v>10002229</v>
      </c>
      <c r="B383" s="17" t="s">
        <v>30</v>
      </c>
      <c r="C383" s="18" t="s">
        <v>13</v>
      </c>
      <c r="D383" s="9">
        <v>46196</v>
      </c>
      <c r="E383" s="17" t="s">
        <v>119</v>
      </c>
      <c r="F383" s="12">
        <v>0.36342592592592593</v>
      </c>
      <c r="G383" s="12">
        <v>0.85228009259259263</v>
      </c>
      <c r="H383" s="13">
        <v>11.732500000000002</v>
      </c>
      <c r="I383" s="14">
        <v>8.5</v>
      </c>
      <c r="J383" s="15">
        <v>3.2325000000000017</v>
      </c>
      <c r="K383" s="17" t="s">
        <v>120</v>
      </c>
      <c r="P383" s="1"/>
      <c r="U383" s="1"/>
    </row>
    <row r="384" spans="1:21" x14ac:dyDescent="0.3">
      <c r="A384" s="11">
        <v>10002229</v>
      </c>
      <c r="B384" s="17" t="s">
        <v>30</v>
      </c>
      <c r="C384" s="18" t="s">
        <v>13</v>
      </c>
      <c r="D384" s="9">
        <v>46197</v>
      </c>
      <c r="E384" s="17" t="s">
        <v>123</v>
      </c>
      <c r="F384" s="12">
        <v>0.36172453703703705</v>
      </c>
      <c r="G384" s="12">
        <v>0.8071990740740741</v>
      </c>
      <c r="H384" s="13">
        <v>10.691388888888889</v>
      </c>
      <c r="I384" s="14">
        <v>8.5</v>
      </c>
      <c r="J384" s="15">
        <v>2.1913888888888895</v>
      </c>
      <c r="K384" s="17" t="s">
        <v>120</v>
      </c>
      <c r="P384" s="1"/>
      <c r="U384" s="1"/>
    </row>
    <row r="385" spans="1:21" x14ac:dyDescent="0.3">
      <c r="A385" s="11">
        <v>10002229</v>
      </c>
      <c r="B385" s="17" t="s">
        <v>30</v>
      </c>
      <c r="C385" s="18" t="s">
        <v>13</v>
      </c>
      <c r="D385" s="9">
        <v>46198</v>
      </c>
      <c r="E385" s="17" t="s">
        <v>124</v>
      </c>
      <c r="F385" s="12">
        <v>0.35879629629629628</v>
      </c>
      <c r="G385" s="12">
        <v>0.88462962962962965</v>
      </c>
      <c r="H385" s="13">
        <v>12.620000000000001</v>
      </c>
      <c r="I385" s="14">
        <v>8.5</v>
      </c>
      <c r="J385" s="15">
        <v>4.120000000000001</v>
      </c>
      <c r="K385" s="17" t="s">
        <v>120</v>
      </c>
      <c r="P385" s="1"/>
      <c r="U385" s="1"/>
    </row>
    <row r="386" spans="1:21" x14ac:dyDescent="0.3">
      <c r="A386" s="11">
        <v>10002229</v>
      </c>
      <c r="B386" s="17" t="s">
        <v>30</v>
      </c>
      <c r="C386" s="18" t="s">
        <v>13</v>
      </c>
      <c r="D386" s="9">
        <v>46199</v>
      </c>
      <c r="E386" s="17" t="s">
        <v>125</v>
      </c>
      <c r="F386" s="12">
        <v>0.37091435185185184</v>
      </c>
      <c r="G386" s="12">
        <v>0.58052083333333337</v>
      </c>
      <c r="H386" s="13">
        <v>5.0305555555555568</v>
      </c>
      <c r="I386" s="14">
        <v>3</v>
      </c>
      <c r="J386" s="15">
        <v>2.0305555555555568</v>
      </c>
      <c r="K386" s="17" t="s">
        <v>115</v>
      </c>
      <c r="P386" s="1"/>
      <c r="U386" s="1"/>
    </row>
    <row r="387" spans="1:21" x14ac:dyDescent="0.3">
      <c r="A387" s="11">
        <v>10002229</v>
      </c>
      <c r="B387" s="17" t="s">
        <v>30</v>
      </c>
      <c r="C387" s="18" t="s">
        <v>13</v>
      </c>
      <c r="D387" s="9">
        <v>46200</v>
      </c>
      <c r="E387" s="17" t="s">
        <v>126</v>
      </c>
      <c r="F387" s="12"/>
      <c r="G387" s="12"/>
      <c r="H387" s="13">
        <v>0</v>
      </c>
      <c r="I387" s="14">
        <v>0</v>
      </c>
      <c r="J387" s="15">
        <v>0</v>
      </c>
      <c r="K387" s="17" t="s">
        <v>116</v>
      </c>
      <c r="P387" s="1"/>
      <c r="U387" s="1"/>
    </row>
    <row r="388" spans="1:21" x14ac:dyDescent="0.3">
      <c r="A388" s="11">
        <v>10002229</v>
      </c>
      <c r="B388" s="17" t="s">
        <v>30</v>
      </c>
      <c r="C388" s="18" t="s">
        <v>13</v>
      </c>
      <c r="D388" s="9">
        <v>46201</v>
      </c>
      <c r="E388" s="17" t="s">
        <v>113</v>
      </c>
      <c r="F388" s="12">
        <v>0.31733796296296296</v>
      </c>
      <c r="G388" s="12">
        <v>0.73282407407407413</v>
      </c>
      <c r="H388" s="13">
        <v>9.9716666666666676</v>
      </c>
      <c r="I388" s="14">
        <v>8.5</v>
      </c>
      <c r="J388" s="15">
        <v>1.4716666666666676</v>
      </c>
      <c r="K388" s="17" t="s">
        <v>115</v>
      </c>
      <c r="P388" s="1"/>
      <c r="U388" s="1"/>
    </row>
    <row r="389" spans="1:21" x14ac:dyDescent="0.3">
      <c r="A389" s="11">
        <v>10002229</v>
      </c>
      <c r="B389" s="17" t="s">
        <v>30</v>
      </c>
      <c r="C389" s="18" t="s">
        <v>13</v>
      </c>
      <c r="D389" s="9">
        <v>46202</v>
      </c>
      <c r="E389" s="17" t="s">
        <v>118</v>
      </c>
      <c r="F389" s="12">
        <v>0.38218750000000001</v>
      </c>
      <c r="G389" s="12">
        <v>0.77145833333333336</v>
      </c>
      <c r="H389" s="13">
        <v>9.3425000000000011</v>
      </c>
      <c r="I389" s="14">
        <v>8.5</v>
      </c>
      <c r="J389" s="15">
        <v>0.84250000000000114</v>
      </c>
      <c r="K389" s="17" t="s">
        <v>120</v>
      </c>
      <c r="P389" s="1"/>
      <c r="U389" s="1"/>
    </row>
    <row r="390" spans="1:21" x14ac:dyDescent="0.3">
      <c r="A390" s="11">
        <v>10002241</v>
      </c>
      <c r="B390" s="17" t="s">
        <v>18</v>
      </c>
      <c r="C390" s="18" t="s">
        <v>11</v>
      </c>
      <c r="D390" s="9">
        <v>46194</v>
      </c>
      <c r="E390" s="17" t="s">
        <v>113</v>
      </c>
      <c r="F390" s="12"/>
      <c r="G390" s="12"/>
      <c r="H390" s="13">
        <v>0</v>
      </c>
      <c r="I390" s="14">
        <v>0</v>
      </c>
      <c r="J390" s="15">
        <v>0</v>
      </c>
      <c r="K390" s="17" t="s">
        <v>116</v>
      </c>
      <c r="P390" s="1"/>
      <c r="U390" s="1"/>
    </row>
    <row r="391" spans="1:21" x14ac:dyDescent="0.3">
      <c r="A391" s="11">
        <v>10002241</v>
      </c>
      <c r="B391" s="17" t="s">
        <v>18</v>
      </c>
      <c r="C391" s="18" t="s">
        <v>11</v>
      </c>
      <c r="D391" s="9">
        <v>46195</v>
      </c>
      <c r="E391" s="17" t="s">
        <v>118</v>
      </c>
      <c r="F391" s="12">
        <v>0.34613425925925928</v>
      </c>
      <c r="G391" s="12">
        <v>0.73883101851851851</v>
      </c>
      <c r="H391" s="13">
        <v>9.424722222222222</v>
      </c>
      <c r="I391" s="14">
        <v>9</v>
      </c>
      <c r="J391" s="15">
        <v>0.424722222222222</v>
      </c>
      <c r="K391" s="17" t="s">
        <v>115</v>
      </c>
      <c r="P391" s="1"/>
      <c r="U391" s="1"/>
    </row>
    <row r="392" spans="1:21" x14ac:dyDescent="0.3">
      <c r="A392" s="11">
        <v>10002241</v>
      </c>
      <c r="B392" s="17" t="s">
        <v>18</v>
      </c>
      <c r="C392" s="18" t="s">
        <v>11</v>
      </c>
      <c r="D392" s="9">
        <v>46196</v>
      </c>
      <c r="E392" s="17" t="s">
        <v>119</v>
      </c>
      <c r="F392" s="12">
        <v>0.34538194444444442</v>
      </c>
      <c r="G392" s="12">
        <v>0.7337731481481482</v>
      </c>
      <c r="H392" s="13">
        <v>9.3213888888888903</v>
      </c>
      <c r="I392" s="14">
        <v>9</v>
      </c>
      <c r="J392" s="15">
        <v>0.32138888888889028</v>
      </c>
      <c r="K392" s="17" t="s">
        <v>115</v>
      </c>
      <c r="P392" s="1"/>
      <c r="U392" s="1"/>
    </row>
    <row r="393" spans="1:21" x14ac:dyDescent="0.3">
      <c r="A393" s="11">
        <v>10002241</v>
      </c>
      <c r="B393" s="17" t="s">
        <v>18</v>
      </c>
      <c r="C393" s="18" t="s">
        <v>11</v>
      </c>
      <c r="D393" s="9">
        <v>46197</v>
      </c>
      <c r="E393" s="17" t="s">
        <v>123</v>
      </c>
      <c r="F393" s="12">
        <v>0.34994212962962962</v>
      </c>
      <c r="G393" s="12">
        <v>0.74322916666666672</v>
      </c>
      <c r="H393" s="13">
        <v>9.43888888888889</v>
      </c>
      <c r="I393" s="14">
        <v>9</v>
      </c>
      <c r="J393" s="15">
        <v>0.43888888888888999</v>
      </c>
      <c r="K393" s="17" t="s">
        <v>115</v>
      </c>
      <c r="P393" s="1"/>
      <c r="U393" s="1"/>
    </row>
    <row r="394" spans="1:21" x14ac:dyDescent="0.3">
      <c r="A394" s="11">
        <v>10002241</v>
      </c>
      <c r="B394" s="17" t="s">
        <v>18</v>
      </c>
      <c r="C394" s="18" t="s">
        <v>11</v>
      </c>
      <c r="D394" s="9">
        <v>46198</v>
      </c>
      <c r="E394" s="17" t="s">
        <v>124</v>
      </c>
      <c r="F394" s="12">
        <v>0.35054398148148147</v>
      </c>
      <c r="G394" s="12">
        <v>0.74872685185185184</v>
      </c>
      <c r="H394" s="13">
        <v>9.5563888888888897</v>
      </c>
      <c r="I394" s="14">
        <v>9</v>
      </c>
      <c r="J394" s="15">
        <v>0.55638888888888971</v>
      </c>
      <c r="K394" s="17" t="s">
        <v>115</v>
      </c>
      <c r="P394" s="1"/>
      <c r="U394" s="1"/>
    </row>
    <row r="395" spans="1:21" x14ac:dyDescent="0.3">
      <c r="A395" s="11">
        <v>10002241</v>
      </c>
      <c r="B395" s="17" t="s">
        <v>18</v>
      </c>
      <c r="C395" s="18" t="s">
        <v>11</v>
      </c>
      <c r="D395" s="9">
        <v>46199</v>
      </c>
      <c r="E395" s="17" t="s">
        <v>125</v>
      </c>
      <c r="F395" s="12">
        <v>0.3488310185185185</v>
      </c>
      <c r="G395" s="12">
        <v>0.52349537037037042</v>
      </c>
      <c r="H395" s="13">
        <v>4.191944444444446</v>
      </c>
      <c r="I395" s="14">
        <v>4</v>
      </c>
      <c r="J395" s="15">
        <v>0.19194444444444603</v>
      </c>
      <c r="K395" s="17" t="s">
        <v>115</v>
      </c>
      <c r="P395" s="1"/>
      <c r="U395" s="1"/>
    </row>
    <row r="396" spans="1:21" x14ac:dyDescent="0.3">
      <c r="A396" s="11">
        <v>10002241</v>
      </c>
      <c r="B396" s="17" t="s">
        <v>18</v>
      </c>
      <c r="C396" s="18" t="s">
        <v>11</v>
      </c>
      <c r="D396" s="9">
        <v>46200</v>
      </c>
      <c r="E396" s="17" t="s">
        <v>126</v>
      </c>
      <c r="F396" s="12"/>
      <c r="G396" s="12"/>
      <c r="H396" s="13">
        <v>0</v>
      </c>
      <c r="I396" s="14">
        <v>0</v>
      </c>
      <c r="J396" s="15">
        <v>0</v>
      </c>
      <c r="K396" s="17" t="s">
        <v>116</v>
      </c>
      <c r="P396" s="1"/>
      <c r="U396" s="1"/>
    </row>
    <row r="397" spans="1:21" x14ac:dyDescent="0.3">
      <c r="A397" s="11">
        <v>10002241</v>
      </c>
      <c r="B397" s="17" t="s">
        <v>18</v>
      </c>
      <c r="C397" s="18" t="s">
        <v>11</v>
      </c>
      <c r="D397" s="9">
        <v>46201</v>
      </c>
      <c r="E397" s="17" t="s">
        <v>113</v>
      </c>
      <c r="F397" s="12"/>
      <c r="G397" s="12"/>
      <c r="H397" s="13">
        <v>0</v>
      </c>
      <c r="I397" s="14">
        <v>0</v>
      </c>
      <c r="J397" s="15">
        <v>0</v>
      </c>
      <c r="K397" s="17" t="s">
        <v>116</v>
      </c>
      <c r="P397" s="1"/>
      <c r="U397" s="1"/>
    </row>
    <row r="398" spans="1:21" x14ac:dyDescent="0.3">
      <c r="A398" s="11">
        <v>10002241</v>
      </c>
      <c r="B398" s="17" t="s">
        <v>18</v>
      </c>
      <c r="C398" s="18" t="s">
        <v>11</v>
      </c>
      <c r="D398" s="9">
        <v>46202</v>
      </c>
      <c r="E398" s="17" t="s">
        <v>118</v>
      </c>
      <c r="F398" s="12">
        <v>0.3482986111111111</v>
      </c>
      <c r="G398" s="12">
        <v>0.74789351851851849</v>
      </c>
      <c r="H398" s="13">
        <v>9.5902777777777768</v>
      </c>
      <c r="I398" s="14">
        <v>9</v>
      </c>
      <c r="J398" s="15">
        <v>0.59027777777777679</v>
      </c>
      <c r="K398" s="17" t="s">
        <v>115</v>
      </c>
      <c r="P398" s="1"/>
      <c r="U398" s="1"/>
    </row>
    <row r="399" spans="1:21" x14ac:dyDescent="0.3">
      <c r="A399" s="11">
        <v>10002244</v>
      </c>
      <c r="B399" s="17" t="s">
        <v>36</v>
      </c>
      <c r="C399" s="18" t="s">
        <v>17</v>
      </c>
      <c r="D399" s="9">
        <v>46194</v>
      </c>
      <c r="E399" s="17" t="s">
        <v>113</v>
      </c>
      <c r="F399" s="12">
        <v>0.33619212962962963</v>
      </c>
      <c r="G399" s="12">
        <v>0.71979166666666672</v>
      </c>
      <c r="H399" s="13">
        <v>9.2063888888888901</v>
      </c>
      <c r="I399" s="14">
        <v>9</v>
      </c>
      <c r="J399" s="15">
        <v>0.20638888888889007</v>
      </c>
      <c r="K399" s="17" t="s">
        <v>115</v>
      </c>
      <c r="P399" s="1"/>
      <c r="U399" s="1"/>
    </row>
    <row r="400" spans="1:21" x14ac:dyDescent="0.3">
      <c r="A400" s="11">
        <v>10002244</v>
      </c>
      <c r="B400" s="17" t="s">
        <v>36</v>
      </c>
      <c r="C400" s="18" t="s">
        <v>17</v>
      </c>
      <c r="D400" s="9">
        <v>46195</v>
      </c>
      <c r="E400" s="17" t="s">
        <v>118</v>
      </c>
      <c r="F400" s="12">
        <v>0.33324074074074073</v>
      </c>
      <c r="G400" s="12">
        <v>0.72082175925925929</v>
      </c>
      <c r="H400" s="13">
        <v>9.3019444444444446</v>
      </c>
      <c r="I400" s="14">
        <v>9</v>
      </c>
      <c r="J400" s="15">
        <v>0.30194444444444457</v>
      </c>
      <c r="K400" s="17" t="s">
        <v>115</v>
      </c>
      <c r="P400" s="1"/>
      <c r="U400" s="1"/>
    </row>
    <row r="401" spans="1:21" x14ac:dyDescent="0.3">
      <c r="A401" s="11">
        <v>10002244</v>
      </c>
      <c r="B401" s="17" t="s">
        <v>36</v>
      </c>
      <c r="C401" s="18" t="s">
        <v>17</v>
      </c>
      <c r="D401" s="9">
        <v>46196</v>
      </c>
      <c r="E401" s="17" t="s">
        <v>119</v>
      </c>
      <c r="F401" s="12">
        <v>0.32965277777777779</v>
      </c>
      <c r="G401" s="12">
        <v>0.71793981481481484</v>
      </c>
      <c r="H401" s="13">
        <v>9.318888888888889</v>
      </c>
      <c r="I401" s="14">
        <v>9</v>
      </c>
      <c r="J401" s="15">
        <v>0.318888888888889</v>
      </c>
      <c r="K401" s="17" t="s">
        <v>115</v>
      </c>
      <c r="P401" s="1"/>
      <c r="U401" s="1"/>
    </row>
    <row r="402" spans="1:21" x14ac:dyDescent="0.3">
      <c r="A402" s="11">
        <v>10002244</v>
      </c>
      <c r="B402" s="17" t="s">
        <v>36</v>
      </c>
      <c r="C402" s="18" t="s">
        <v>17</v>
      </c>
      <c r="D402" s="9">
        <v>46197</v>
      </c>
      <c r="E402" s="17" t="s">
        <v>123</v>
      </c>
      <c r="F402" s="12">
        <v>0.33416666666666667</v>
      </c>
      <c r="G402" s="12">
        <v>0.7365856481481482</v>
      </c>
      <c r="H402" s="13">
        <v>9.6580555555555563</v>
      </c>
      <c r="I402" s="14">
        <v>9</v>
      </c>
      <c r="J402" s="15">
        <v>0.65805555555555628</v>
      </c>
      <c r="K402" s="17" t="s">
        <v>115</v>
      </c>
      <c r="P402" s="1"/>
      <c r="U402" s="1"/>
    </row>
    <row r="403" spans="1:21" x14ac:dyDescent="0.3">
      <c r="A403" s="11">
        <v>10002244</v>
      </c>
      <c r="B403" s="17" t="s">
        <v>36</v>
      </c>
      <c r="C403" s="18" t="s">
        <v>17</v>
      </c>
      <c r="D403" s="9">
        <v>46198</v>
      </c>
      <c r="E403" s="17" t="s">
        <v>124</v>
      </c>
      <c r="F403" s="12">
        <v>0.33927083333333335</v>
      </c>
      <c r="G403" s="12">
        <v>0.58135416666666662</v>
      </c>
      <c r="H403" s="13">
        <v>5.8099999999999987</v>
      </c>
      <c r="I403" s="14">
        <v>4</v>
      </c>
      <c r="J403" s="15">
        <v>1.8099999999999987</v>
      </c>
      <c r="K403" s="17" t="s">
        <v>115</v>
      </c>
      <c r="P403" s="1"/>
      <c r="U403" s="1"/>
    </row>
    <row r="404" spans="1:21" x14ac:dyDescent="0.3">
      <c r="A404" s="11">
        <v>10002244</v>
      </c>
      <c r="B404" s="17" t="s">
        <v>36</v>
      </c>
      <c r="C404" s="18" t="s">
        <v>17</v>
      </c>
      <c r="D404" s="9">
        <v>46199</v>
      </c>
      <c r="E404" s="17" t="s">
        <v>125</v>
      </c>
      <c r="F404" s="12"/>
      <c r="G404" s="12"/>
      <c r="H404" s="13">
        <v>0</v>
      </c>
      <c r="I404" s="14">
        <v>0</v>
      </c>
      <c r="J404" s="15">
        <v>0</v>
      </c>
      <c r="K404" s="17" t="s">
        <v>116</v>
      </c>
      <c r="P404" s="1"/>
      <c r="U404" s="1"/>
    </row>
    <row r="405" spans="1:21" x14ac:dyDescent="0.3">
      <c r="A405" s="11">
        <v>10002244</v>
      </c>
      <c r="B405" s="17" t="s">
        <v>36</v>
      </c>
      <c r="C405" s="18" t="s">
        <v>17</v>
      </c>
      <c r="D405" s="9">
        <v>46200</v>
      </c>
      <c r="E405" s="17" t="s">
        <v>126</v>
      </c>
      <c r="F405" s="12"/>
      <c r="G405" s="12"/>
      <c r="H405" s="13">
        <v>0</v>
      </c>
      <c r="I405" s="14">
        <v>0</v>
      </c>
      <c r="J405" s="15">
        <v>0</v>
      </c>
      <c r="K405" s="17" t="s">
        <v>116</v>
      </c>
      <c r="P405" s="1"/>
      <c r="U405" s="1"/>
    </row>
    <row r="406" spans="1:21" x14ac:dyDescent="0.3">
      <c r="A406" s="11">
        <v>10002244</v>
      </c>
      <c r="B406" s="17" t="s">
        <v>36</v>
      </c>
      <c r="C406" s="18" t="s">
        <v>17</v>
      </c>
      <c r="D406" s="9">
        <v>46201</v>
      </c>
      <c r="E406" s="17" t="s">
        <v>113</v>
      </c>
      <c r="F406" s="12">
        <v>0.34037037037037038</v>
      </c>
      <c r="G406" s="12">
        <v>0.7224652777777778</v>
      </c>
      <c r="H406" s="13">
        <v>9.1702777777777786</v>
      </c>
      <c r="I406" s="14">
        <v>9</v>
      </c>
      <c r="J406" s="15">
        <v>0.17027777777777864</v>
      </c>
      <c r="K406" s="17" t="s">
        <v>115</v>
      </c>
      <c r="P406" s="1"/>
      <c r="U406" s="1"/>
    </row>
    <row r="407" spans="1:21" x14ac:dyDescent="0.3">
      <c r="A407" s="11">
        <v>10002244</v>
      </c>
      <c r="B407" s="17" t="s">
        <v>36</v>
      </c>
      <c r="C407" s="18" t="s">
        <v>17</v>
      </c>
      <c r="D407" s="9">
        <v>46202</v>
      </c>
      <c r="E407" s="17" t="s">
        <v>118</v>
      </c>
      <c r="F407" s="12">
        <v>0.33653935185185185</v>
      </c>
      <c r="G407" s="12">
        <v>0.71775462962962966</v>
      </c>
      <c r="H407" s="13">
        <v>9.1491666666666678</v>
      </c>
      <c r="I407" s="14">
        <v>9</v>
      </c>
      <c r="J407" s="15">
        <v>0.14916666666666778</v>
      </c>
      <c r="K407" s="17" t="s">
        <v>115</v>
      </c>
      <c r="P407" s="1"/>
      <c r="U407" s="1"/>
    </row>
    <row r="408" spans="1:21" x14ac:dyDescent="0.3">
      <c r="A408" s="11">
        <v>10002248</v>
      </c>
      <c r="B408" s="17" t="s">
        <v>35</v>
      </c>
      <c r="C408" s="18" t="s">
        <v>11</v>
      </c>
      <c r="D408" s="9">
        <v>46194</v>
      </c>
      <c r="E408" s="17" t="s">
        <v>113</v>
      </c>
      <c r="F408" s="12"/>
      <c r="G408" s="12"/>
      <c r="H408" s="13">
        <v>0</v>
      </c>
      <c r="I408" s="14">
        <v>0</v>
      </c>
      <c r="J408" s="15">
        <v>0</v>
      </c>
      <c r="K408" s="17" t="s">
        <v>116</v>
      </c>
      <c r="P408" s="1"/>
      <c r="U408" s="1"/>
    </row>
    <row r="409" spans="1:21" x14ac:dyDescent="0.3">
      <c r="A409" s="11">
        <v>10002248</v>
      </c>
      <c r="B409" s="17" t="s">
        <v>35</v>
      </c>
      <c r="C409" s="18" t="s">
        <v>11</v>
      </c>
      <c r="D409" s="9">
        <v>46195</v>
      </c>
      <c r="E409" s="17" t="s">
        <v>118</v>
      </c>
      <c r="F409" s="12">
        <v>0.34924768518518517</v>
      </c>
      <c r="G409" s="12">
        <v>0.73304398148148153</v>
      </c>
      <c r="H409" s="13">
        <v>9.2111111111111121</v>
      </c>
      <c r="I409" s="14">
        <v>9</v>
      </c>
      <c r="J409" s="15">
        <v>0.21111111111111214</v>
      </c>
      <c r="K409" s="17" t="s">
        <v>115</v>
      </c>
      <c r="P409" s="1"/>
      <c r="U409" s="1"/>
    </row>
    <row r="410" spans="1:21" x14ac:dyDescent="0.3">
      <c r="A410" s="11">
        <v>10002248</v>
      </c>
      <c r="B410" s="17" t="s">
        <v>35</v>
      </c>
      <c r="C410" s="18" t="s">
        <v>11</v>
      </c>
      <c r="D410" s="9">
        <v>46196</v>
      </c>
      <c r="E410" s="17" t="s">
        <v>119</v>
      </c>
      <c r="F410" s="12">
        <v>0.34547453703703701</v>
      </c>
      <c r="G410" s="12">
        <v>0.76253472222222218</v>
      </c>
      <c r="H410" s="13">
        <v>10.009444444444444</v>
      </c>
      <c r="I410" s="14">
        <v>9</v>
      </c>
      <c r="J410" s="15">
        <v>1.0094444444444441</v>
      </c>
      <c r="K410" s="17" t="s">
        <v>115</v>
      </c>
      <c r="P410" s="1"/>
      <c r="U410" s="1"/>
    </row>
    <row r="411" spans="1:21" x14ac:dyDescent="0.3">
      <c r="A411" s="11">
        <v>10002248</v>
      </c>
      <c r="B411" s="17" t="s">
        <v>35</v>
      </c>
      <c r="C411" s="18" t="s">
        <v>11</v>
      </c>
      <c r="D411" s="9">
        <v>46197</v>
      </c>
      <c r="E411" s="17" t="s">
        <v>123</v>
      </c>
      <c r="F411" s="12">
        <v>0.34795138888888888</v>
      </c>
      <c r="G411" s="12">
        <v>0.73312500000000003</v>
      </c>
      <c r="H411" s="13">
        <v>9.2441666666666684</v>
      </c>
      <c r="I411" s="14">
        <v>9</v>
      </c>
      <c r="J411" s="15">
        <v>0.24416666666666842</v>
      </c>
      <c r="K411" s="17" t="s">
        <v>115</v>
      </c>
      <c r="P411" s="1"/>
      <c r="U411" s="1"/>
    </row>
    <row r="412" spans="1:21" x14ac:dyDescent="0.3">
      <c r="A412" s="11">
        <v>10002248</v>
      </c>
      <c r="B412" s="17" t="s">
        <v>35</v>
      </c>
      <c r="C412" s="18" t="s">
        <v>11</v>
      </c>
      <c r="D412" s="9">
        <v>46198</v>
      </c>
      <c r="E412" s="17" t="s">
        <v>124</v>
      </c>
      <c r="F412" s="12">
        <v>0.34755787037037039</v>
      </c>
      <c r="G412" s="12">
        <v>0.74253472222222228</v>
      </c>
      <c r="H412" s="13">
        <v>9.4794444444444448</v>
      </c>
      <c r="I412" s="14">
        <v>9</v>
      </c>
      <c r="J412" s="15">
        <v>0.47944444444444478</v>
      </c>
      <c r="K412" s="17" t="s">
        <v>115</v>
      </c>
      <c r="P412" s="1"/>
      <c r="U412" s="1"/>
    </row>
    <row r="413" spans="1:21" x14ac:dyDescent="0.3">
      <c r="A413" s="11">
        <v>10002248</v>
      </c>
      <c r="B413" s="17" t="s">
        <v>35</v>
      </c>
      <c r="C413" s="18" t="s">
        <v>11</v>
      </c>
      <c r="D413" s="9">
        <v>46199</v>
      </c>
      <c r="E413" s="17" t="s">
        <v>125</v>
      </c>
      <c r="F413" s="12">
        <v>0.34755787037037039</v>
      </c>
      <c r="G413" s="12">
        <v>0.52223379629629629</v>
      </c>
      <c r="H413" s="13">
        <v>4.1922222222222221</v>
      </c>
      <c r="I413" s="14">
        <v>4</v>
      </c>
      <c r="J413" s="15">
        <v>0.19222222222222207</v>
      </c>
      <c r="K413" s="17" t="s">
        <v>115</v>
      </c>
      <c r="P413" s="1"/>
      <c r="U413" s="1"/>
    </row>
    <row r="414" spans="1:21" x14ac:dyDescent="0.3">
      <c r="A414" s="11">
        <v>10002248</v>
      </c>
      <c r="B414" s="17" t="s">
        <v>35</v>
      </c>
      <c r="C414" s="18" t="s">
        <v>11</v>
      </c>
      <c r="D414" s="9">
        <v>46200</v>
      </c>
      <c r="E414" s="17" t="s">
        <v>126</v>
      </c>
      <c r="F414" s="12"/>
      <c r="G414" s="12"/>
      <c r="H414" s="13">
        <v>0</v>
      </c>
      <c r="I414" s="14">
        <v>0</v>
      </c>
      <c r="J414" s="15">
        <v>0</v>
      </c>
      <c r="K414" s="17" t="s">
        <v>116</v>
      </c>
      <c r="P414" s="1"/>
      <c r="U414" s="1"/>
    </row>
    <row r="415" spans="1:21" x14ac:dyDescent="0.3">
      <c r="A415" s="11">
        <v>10002248</v>
      </c>
      <c r="B415" s="17" t="s">
        <v>35</v>
      </c>
      <c r="C415" s="18" t="s">
        <v>11</v>
      </c>
      <c r="D415" s="9">
        <v>46201</v>
      </c>
      <c r="E415" s="17" t="s">
        <v>113</v>
      </c>
      <c r="F415" s="12"/>
      <c r="G415" s="12"/>
      <c r="H415" s="13">
        <v>0</v>
      </c>
      <c r="I415" s="14">
        <v>0</v>
      </c>
      <c r="J415" s="15">
        <v>0</v>
      </c>
      <c r="K415" s="17" t="s">
        <v>116</v>
      </c>
      <c r="P415" s="1"/>
      <c r="U415" s="1"/>
    </row>
    <row r="416" spans="1:21" x14ac:dyDescent="0.3">
      <c r="A416" s="11">
        <v>10002248</v>
      </c>
      <c r="B416" s="17" t="s">
        <v>35</v>
      </c>
      <c r="C416" s="18" t="s">
        <v>11</v>
      </c>
      <c r="D416" s="9">
        <v>46202</v>
      </c>
      <c r="E416" s="17" t="s">
        <v>118</v>
      </c>
      <c r="F416" s="12">
        <v>0.34734953703703703</v>
      </c>
      <c r="G416" s="12">
        <v>0.72650462962962958</v>
      </c>
      <c r="H416" s="13">
        <v>9.0997222222222209</v>
      </c>
      <c r="I416" s="14">
        <v>9</v>
      </c>
      <c r="J416" s="15">
        <v>9.9722222222220935E-2</v>
      </c>
      <c r="K416" s="17" t="s">
        <v>115</v>
      </c>
      <c r="P416" s="1"/>
      <c r="U416" s="1"/>
    </row>
    <row r="417" spans="1:21" x14ac:dyDescent="0.3">
      <c r="A417" s="11">
        <v>10002251</v>
      </c>
      <c r="B417" s="17" t="s">
        <v>15</v>
      </c>
      <c r="C417" s="18" t="s">
        <v>13</v>
      </c>
      <c r="D417" s="9">
        <v>46194</v>
      </c>
      <c r="E417" s="17" t="s">
        <v>113</v>
      </c>
      <c r="F417" s="12">
        <v>0.34461805555555558</v>
      </c>
      <c r="G417" s="12">
        <v>0.70531250000000001</v>
      </c>
      <c r="H417" s="13">
        <v>8.6566666666666663</v>
      </c>
      <c r="I417" s="14">
        <v>8.5</v>
      </c>
      <c r="J417" s="15">
        <v>0.15666666666666629</v>
      </c>
      <c r="K417" s="17" t="s">
        <v>115</v>
      </c>
      <c r="P417" s="1"/>
      <c r="U417" s="1"/>
    </row>
    <row r="418" spans="1:21" x14ac:dyDescent="0.3">
      <c r="A418" s="11">
        <v>10002251</v>
      </c>
      <c r="B418" s="17" t="s">
        <v>15</v>
      </c>
      <c r="C418" s="18" t="s">
        <v>13</v>
      </c>
      <c r="D418" s="9">
        <v>46195</v>
      </c>
      <c r="E418" s="17" t="s">
        <v>118</v>
      </c>
      <c r="F418" s="12">
        <v>0.33642361111111113</v>
      </c>
      <c r="G418" s="12">
        <v>0.7397569444444444</v>
      </c>
      <c r="H418" s="13">
        <v>9.6799999999999979</v>
      </c>
      <c r="I418" s="14">
        <v>8.5</v>
      </c>
      <c r="J418" s="15">
        <v>1.1799999999999979</v>
      </c>
      <c r="K418" s="17" t="s">
        <v>115</v>
      </c>
      <c r="P418" s="1"/>
      <c r="U418" s="1"/>
    </row>
    <row r="419" spans="1:21" x14ac:dyDescent="0.3">
      <c r="A419" s="11">
        <v>10002251</v>
      </c>
      <c r="B419" s="17" t="s">
        <v>15</v>
      </c>
      <c r="C419" s="18" t="s">
        <v>13</v>
      </c>
      <c r="D419" s="9">
        <v>46196</v>
      </c>
      <c r="E419" s="17" t="s">
        <v>119</v>
      </c>
      <c r="F419" s="12">
        <v>0.33501157407407406</v>
      </c>
      <c r="G419" s="12">
        <v>0.73396990740740742</v>
      </c>
      <c r="H419" s="13">
        <v>9.5750000000000011</v>
      </c>
      <c r="I419" s="14">
        <v>8.5</v>
      </c>
      <c r="J419" s="15">
        <v>1.0750000000000011</v>
      </c>
      <c r="K419" s="17" t="s">
        <v>115</v>
      </c>
      <c r="P419" s="1"/>
      <c r="U419" s="1"/>
    </row>
    <row r="420" spans="1:21" x14ac:dyDescent="0.3">
      <c r="A420" s="11">
        <v>10002251</v>
      </c>
      <c r="B420" s="17" t="s">
        <v>15</v>
      </c>
      <c r="C420" s="18" t="s">
        <v>13</v>
      </c>
      <c r="D420" s="9">
        <v>46197</v>
      </c>
      <c r="E420" s="17" t="s">
        <v>123</v>
      </c>
      <c r="F420" s="12">
        <v>0.33498842592592593</v>
      </c>
      <c r="G420" s="12">
        <v>0.70565972222222217</v>
      </c>
      <c r="H420" s="13">
        <v>8.8961111111111109</v>
      </c>
      <c r="I420" s="14">
        <v>8.5</v>
      </c>
      <c r="J420" s="15">
        <v>0.39611111111111086</v>
      </c>
      <c r="K420" s="17" t="s">
        <v>115</v>
      </c>
      <c r="P420" s="1"/>
      <c r="U420" s="1"/>
    </row>
    <row r="421" spans="1:21" x14ac:dyDescent="0.3">
      <c r="A421" s="11">
        <v>10002251</v>
      </c>
      <c r="B421" s="17" t="s">
        <v>15</v>
      </c>
      <c r="C421" s="18" t="s">
        <v>13</v>
      </c>
      <c r="D421" s="9">
        <v>46198</v>
      </c>
      <c r="E421" s="17" t="s">
        <v>124</v>
      </c>
      <c r="F421" s="12">
        <v>0.33336805555555554</v>
      </c>
      <c r="G421" s="12">
        <v>0.73829861111111106</v>
      </c>
      <c r="H421" s="13">
        <v>9.7183333333333319</v>
      </c>
      <c r="I421" s="14">
        <v>8.5</v>
      </c>
      <c r="J421" s="15">
        <v>1.2183333333333319</v>
      </c>
      <c r="K421" s="17" t="s">
        <v>115</v>
      </c>
      <c r="P421" s="1"/>
      <c r="U421" s="1"/>
    </row>
    <row r="422" spans="1:21" x14ac:dyDescent="0.3">
      <c r="A422" s="11">
        <v>10002251</v>
      </c>
      <c r="B422" s="17" t="s">
        <v>15</v>
      </c>
      <c r="C422" s="18" t="s">
        <v>13</v>
      </c>
      <c r="D422" s="9">
        <v>46199</v>
      </c>
      <c r="E422" s="17" t="s">
        <v>125</v>
      </c>
      <c r="F422" s="12">
        <v>0.35332175925925924</v>
      </c>
      <c r="G422" s="12">
        <v>0.51547453703703705</v>
      </c>
      <c r="H422" s="13">
        <v>3.8916666666666675</v>
      </c>
      <c r="I422" s="14">
        <v>3</v>
      </c>
      <c r="J422" s="15">
        <v>0.8916666666666675</v>
      </c>
      <c r="K422" s="17" t="s">
        <v>115</v>
      </c>
      <c r="P422" s="1"/>
      <c r="U422" s="1"/>
    </row>
    <row r="423" spans="1:21" x14ac:dyDescent="0.3">
      <c r="A423" s="11">
        <v>10002251</v>
      </c>
      <c r="B423" s="17" t="s">
        <v>15</v>
      </c>
      <c r="C423" s="18" t="s">
        <v>13</v>
      </c>
      <c r="D423" s="9">
        <v>46200</v>
      </c>
      <c r="E423" s="17" t="s">
        <v>126</v>
      </c>
      <c r="F423" s="12"/>
      <c r="G423" s="12"/>
      <c r="H423" s="13">
        <v>0</v>
      </c>
      <c r="I423" s="14">
        <v>0</v>
      </c>
      <c r="J423" s="15">
        <v>0</v>
      </c>
      <c r="K423" s="17" t="s">
        <v>116</v>
      </c>
      <c r="P423" s="1"/>
      <c r="U423" s="1"/>
    </row>
    <row r="424" spans="1:21" x14ac:dyDescent="0.3">
      <c r="A424" s="11">
        <v>10002251</v>
      </c>
      <c r="B424" s="17" t="s">
        <v>15</v>
      </c>
      <c r="C424" s="18" t="s">
        <v>13</v>
      </c>
      <c r="D424" s="9">
        <v>46201</v>
      </c>
      <c r="E424" s="17" t="s">
        <v>113</v>
      </c>
      <c r="F424" s="12">
        <v>0.34371527777777777</v>
      </c>
      <c r="G424" s="12">
        <v>0.71734953703703708</v>
      </c>
      <c r="H424" s="13">
        <v>8.9672222222222224</v>
      </c>
      <c r="I424" s="14">
        <v>8.5</v>
      </c>
      <c r="J424" s="15">
        <v>0.46722222222222243</v>
      </c>
      <c r="K424" s="17" t="s">
        <v>115</v>
      </c>
      <c r="P424" s="1"/>
      <c r="U424" s="1"/>
    </row>
    <row r="425" spans="1:21" x14ac:dyDescent="0.3">
      <c r="A425" s="11">
        <v>10002251</v>
      </c>
      <c r="B425" s="17" t="s">
        <v>15</v>
      </c>
      <c r="C425" s="18" t="s">
        <v>13</v>
      </c>
      <c r="D425" s="9">
        <v>46202</v>
      </c>
      <c r="E425" s="17" t="s">
        <v>118</v>
      </c>
      <c r="F425" s="12">
        <v>0.33502314814814815</v>
      </c>
      <c r="G425" s="12">
        <v>0.73341435185185189</v>
      </c>
      <c r="H425" s="13">
        <v>9.5613888888888887</v>
      </c>
      <c r="I425" s="14">
        <v>8.5</v>
      </c>
      <c r="J425" s="15">
        <v>1.0613888888888887</v>
      </c>
      <c r="K425" s="17" t="s">
        <v>115</v>
      </c>
      <c r="P425" s="1"/>
      <c r="U425" s="1"/>
    </row>
    <row r="426" spans="1:21" x14ac:dyDescent="0.3">
      <c r="A426" s="11">
        <v>10002330</v>
      </c>
      <c r="B426" s="17" t="s">
        <v>37</v>
      </c>
      <c r="C426" s="18" t="s">
        <v>13</v>
      </c>
      <c r="D426" s="9">
        <v>46194</v>
      </c>
      <c r="E426" s="17" t="s">
        <v>113</v>
      </c>
      <c r="F426" s="12"/>
      <c r="G426" s="12"/>
      <c r="H426" s="13">
        <v>0</v>
      </c>
      <c r="I426" s="14">
        <v>0</v>
      </c>
      <c r="J426" s="15">
        <v>0</v>
      </c>
      <c r="K426" s="17" t="s">
        <v>129</v>
      </c>
      <c r="P426" s="1"/>
      <c r="U426" s="1"/>
    </row>
    <row r="427" spans="1:21" x14ac:dyDescent="0.3">
      <c r="A427" s="11">
        <v>10002330</v>
      </c>
      <c r="B427" s="17" t="s">
        <v>37</v>
      </c>
      <c r="C427" s="18" t="s">
        <v>13</v>
      </c>
      <c r="D427" s="9">
        <v>46195</v>
      </c>
      <c r="E427" s="17" t="s">
        <v>118</v>
      </c>
      <c r="F427" s="12"/>
      <c r="G427" s="12"/>
      <c r="H427" s="13">
        <v>0</v>
      </c>
      <c r="I427" s="14">
        <v>0</v>
      </c>
      <c r="J427" s="15">
        <v>0</v>
      </c>
      <c r="K427" s="17" t="s">
        <v>129</v>
      </c>
      <c r="P427" s="1"/>
      <c r="U427" s="1"/>
    </row>
    <row r="428" spans="1:21" x14ac:dyDescent="0.3">
      <c r="A428" s="11">
        <v>10002330</v>
      </c>
      <c r="B428" s="17" t="s">
        <v>37</v>
      </c>
      <c r="C428" s="18" t="s">
        <v>13</v>
      </c>
      <c r="D428" s="9">
        <v>46196</v>
      </c>
      <c r="E428" s="17" t="s">
        <v>119</v>
      </c>
      <c r="F428" s="12"/>
      <c r="G428" s="12"/>
      <c r="H428" s="13">
        <v>0</v>
      </c>
      <c r="I428" s="14">
        <v>0</v>
      </c>
      <c r="J428" s="15">
        <v>0</v>
      </c>
      <c r="K428" s="17" t="s">
        <v>129</v>
      </c>
      <c r="P428" s="1"/>
      <c r="U428" s="1"/>
    </row>
    <row r="429" spans="1:21" x14ac:dyDescent="0.3">
      <c r="A429" s="11">
        <v>10002330</v>
      </c>
      <c r="B429" s="17" t="s">
        <v>37</v>
      </c>
      <c r="C429" s="18" t="s">
        <v>13</v>
      </c>
      <c r="D429" s="9">
        <v>46197</v>
      </c>
      <c r="E429" s="17" t="s">
        <v>123</v>
      </c>
      <c r="F429" s="12"/>
      <c r="G429" s="12"/>
      <c r="H429" s="13">
        <v>0</v>
      </c>
      <c r="I429" s="14">
        <v>0</v>
      </c>
      <c r="J429" s="15">
        <v>0</v>
      </c>
      <c r="K429" s="17" t="s">
        <v>129</v>
      </c>
      <c r="P429" s="1"/>
      <c r="U429" s="1"/>
    </row>
    <row r="430" spans="1:21" x14ac:dyDescent="0.3">
      <c r="A430" s="11">
        <v>10002330</v>
      </c>
      <c r="B430" s="17" t="s">
        <v>37</v>
      </c>
      <c r="C430" s="18" t="s">
        <v>13</v>
      </c>
      <c r="D430" s="9">
        <v>46198</v>
      </c>
      <c r="E430" s="17" t="s">
        <v>124</v>
      </c>
      <c r="F430" s="12"/>
      <c r="G430" s="12"/>
      <c r="H430" s="13">
        <v>0</v>
      </c>
      <c r="I430" s="14">
        <v>0</v>
      </c>
      <c r="J430" s="15">
        <v>0</v>
      </c>
      <c r="K430" s="17" t="s">
        <v>129</v>
      </c>
      <c r="P430" s="1"/>
      <c r="U430" s="1"/>
    </row>
    <row r="431" spans="1:21" x14ac:dyDescent="0.3">
      <c r="A431" s="11">
        <v>10002330</v>
      </c>
      <c r="B431" s="17" t="s">
        <v>37</v>
      </c>
      <c r="C431" s="18" t="s">
        <v>13</v>
      </c>
      <c r="D431" s="9">
        <v>46199</v>
      </c>
      <c r="E431" s="17" t="s">
        <v>125</v>
      </c>
      <c r="F431" s="12"/>
      <c r="G431" s="12"/>
      <c r="H431" s="13">
        <v>0</v>
      </c>
      <c r="I431" s="14">
        <v>0</v>
      </c>
      <c r="J431" s="15">
        <v>0</v>
      </c>
      <c r="K431" s="17" t="s">
        <v>129</v>
      </c>
      <c r="P431" s="1"/>
      <c r="U431" s="1"/>
    </row>
    <row r="432" spans="1:21" x14ac:dyDescent="0.3">
      <c r="A432" s="11">
        <v>10002330</v>
      </c>
      <c r="B432" s="17" t="s">
        <v>37</v>
      </c>
      <c r="C432" s="18" t="s">
        <v>13</v>
      </c>
      <c r="D432" s="9">
        <v>46200</v>
      </c>
      <c r="E432" s="17" t="s">
        <v>126</v>
      </c>
      <c r="F432" s="12"/>
      <c r="G432" s="12"/>
      <c r="H432" s="13">
        <v>0</v>
      </c>
      <c r="I432" s="14">
        <v>0</v>
      </c>
      <c r="J432" s="15">
        <v>0</v>
      </c>
      <c r="K432" s="17" t="s">
        <v>129</v>
      </c>
      <c r="P432" s="1"/>
      <c r="U432" s="1"/>
    </row>
    <row r="433" spans="1:21" x14ac:dyDescent="0.3">
      <c r="A433" s="11">
        <v>10002330</v>
      </c>
      <c r="B433" s="17" t="s">
        <v>37</v>
      </c>
      <c r="C433" s="18" t="s">
        <v>13</v>
      </c>
      <c r="D433" s="9">
        <v>46201</v>
      </c>
      <c r="E433" s="17" t="s">
        <v>113</v>
      </c>
      <c r="F433" s="12"/>
      <c r="G433" s="12"/>
      <c r="H433" s="13">
        <v>0</v>
      </c>
      <c r="I433" s="14">
        <v>0</v>
      </c>
      <c r="J433" s="15">
        <v>0</v>
      </c>
      <c r="K433" s="17" t="s">
        <v>129</v>
      </c>
      <c r="P433" s="1"/>
      <c r="U433" s="1"/>
    </row>
    <row r="434" spans="1:21" x14ac:dyDescent="0.3">
      <c r="A434" s="11">
        <v>10002330</v>
      </c>
      <c r="B434" s="17" t="s">
        <v>37</v>
      </c>
      <c r="C434" s="18" t="s">
        <v>13</v>
      </c>
      <c r="D434" s="9">
        <v>46202</v>
      </c>
      <c r="E434" s="17" t="s">
        <v>118</v>
      </c>
      <c r="F434" s="12"/>
      <c r="G434" s="12"/>
      <c r="H434" s="13">
        <v>0</v>
      </c>
      <c r="I434" s="14">
        <v>0</v>
      </c>
      <c r="J434" s="15">
        <v>0</v>
      </c>
      <c r="K434" s="17" t="s">
        <v>129</v>
      </c>
      <c r="P434" s="1"/>
      <c r="U434" s="1"/>
    </row>
    <row r="435" spans="1:21" x14ac:dyDescent="0.3">
      <c r="A435" s="11">
        <v>10002376</v>
      </c>
      <c r="B435" s="17" t="s">
        <v>41</v>
      </c>
      <c r="C435" s="18" t="s">
        <v>11</v>
      </c>
      <c r="D435" s="9">
        <v>46194</v>
      </c>
      <c r="E435" s="17" t="s">
        <v>113</v>
      </c>
      <c r="F435" s="12"/>
      <c r="G435" s="12"/>
      <c r="H435" s="13">
        <v>0</v>
      </c>
      <c r="I435" s="14">
        <v>0</v>
      </c>
      <c r="J435" s="15">
        <v>0</v>
      </c>
      <c r="K435" s="17" t="s">
        <v>116</v>
      </c>
      <c r="P435" s="1"/>
      <c r="U435" s="1"/>
    </row>
    <row r="436" spans="1:21" x14ac:dyDescent="0.3">
      <c r="A436" s="11">
        <v>10002376</v>
      </c>
      <c r="B436" s="17" t="s">
        <v>41</v>
      </c>
      <c r="C436" s="18" t="s">
        <v>11</v>
      </c>
      <c r="D436" s="9">
        <v>46195</v>
      </c>
      <c r="E436" s="17" t="s">
        <v>118</v>
      </c>
      <c r="F436" s="12">
        <v>0.41454861111111113</v>
      </c>
      <c r="G436" s="12">
        <v>0.87460648148148146</v>
      </c>
      <c r="H436" s="13">
        <v>11.041388888888887</v>
      </c>
      <c r="I436" s="14">
        <v>9</v>
      </c>
      <c r="J436" s="15">
        <v>2.0413888888888874</v>
      </c>
      <c r="K436" s="17" t="s">
        <v>115</v>
      </c>
      <c r="P436" s="1"/>
      <c r="U436" s="1"/>
    </row>
    <row r="437" spans="1:21" x14ac:dyDescent="0.3">
      <c r="A437" s="11">
        <v>10002376</v>
      </c>
      <c r="B437" s="17" t="s">
        <v>41</v>
      </c>
      <c r="C437" s="18" t="s">
        <v>11</v>
      </c>
      <c r="D437" s="9">
        <v>46196</v>
      </c>
      <c r="E437" s="17" t="s">
        <v>119</v>
      </c>
      <c r="F437" s="12">
        <v>0.37194444444444447</v>
      </c>
      <c r="G437" s="12">
        <v>0.87668981481481478</v>
      </c>
      <c r="H437" s="13">
        <v>12.113888888888889</v>
      </c>
      <c r="I437" s="14">
        <v>9</v>
      </c>
      <c r="J437" s="15">
        <v>3.1138888888888889</v>
      </c>
      <c r="K437" s="17" t="s">
        <v>115</v>
      </c>
      <c r="P437" s="1"/>
      <c r="U437" s="1"/>
    </row>
    <row r="438" spans="1:21" x14ac:dyDescent="0.3">
      <c r="A438" s="11">
        <v>10002376</v>
      </c>
      <c r="B438" s="17" t="s">
        <v>41</v>
      </c>
      <c r="C438" s="18" t="s">
        <v>11</v>
      </c>
      <c r="D438" s="9">
        <v>46197</v>
      </c>
      <c r="E438" s="17" t="s">
        <v>123</v>
      </c>
      <c r="F438" s="12">
        <v>0.40717592592592594</v>
      </c>
      <c r="G438" s="12">
        <v>0.82173611111111111</v>
      </c>
      <c r="H438" s="13">
        <v>9.9494444444444436</v>
      </c>
      <c r="I438" s="14">
        <v>9</v>
      </c>
      <c r="J438" s="15">
        <v>0.94944444444444365</v>
      </c>
      <c r="K438" s="17" t="s">
        <v>115</v>
      </c>
      <c r="P438" s="1"/>
      <c r="U438" s="1"/>
    </row>
    <row r="439" spans="1:21" x14ac:dyDescent="0.3">
      <c r="A439" s="11">
        <v>10002376</v>
      </c>
      <c r="B439" s="17" t="s">
        <v>41</v>
      </c>
      <c r="C439" s="18" t="s">
        <v>11</v>
      </c>
      <c r="D439" s="9">
        <v>46198</v>
      </c>
      <c r="E439" s="17" t="s">
        <v>124</v>
      </c>
      <c r="F439" s="12">
        <v>0.3973726851851852</v>
      </c>
      <c r="G439" s="12">
        <v>0.8294097222222222</v>
      </c>
      <c r="H439" s="13">
        <v>10.368888888888888</v>
      </c>
      <c r="I439" s="14">
        <v>9</v>
      </c>
      <c r="J439" s="15">
        <v>1.3688888888888879</v>
      </c>
      <c r="K439" s="17" t="s">
        <v>115</v>
      </c>
      <c r="P439" s="1"/>
      <c r="U439" s="1"/>
    </row>
    <row r="440" spans="1:21" x14ac:dyDescent="0.3">
      <c r="A440" s="11">
        <v>10002376</v>
      </c>
      <c r="B440" s="17" t="s">
        <v>41</v>
      </c>
      <c r="C440" s="18" t="s">
        <v>11</v>
      </c>
      <c r="D440" s="9">
        <v>46199</v>
      </c>
      <c r="E440" s="17" t="s">
        <v>125</v>
      </c>
      <c r="F440" s="12">
        <v>0.42421296296296296</v>
      </c>
      <c r="G440" s="12">
        <v>0.76932870370370365</v>
      </c>
      <c r="H440" s="13">
        <v>8.2827777777777776</v>
      </c>
      <c r="I440" s="14">
        <v>4</v>
      </c>
      <c r="J440" s="15">
        <v>4.2827777777777776</v>
      </c>
      <c r="K440" s="17" t="s">
        <v>115</v>
      </c>
      <c r="P440" s="1"/>
      <c r="U440" s="1"/>
    </row>
    <row r="441" spans="1:21" x14ac:dyDescent="0.3">
      <c r="A441" s="11">
        <v>10002376</v>
      </c>
      <c r="B441" s="17" t="s">
        <v>41</v>
      </c>
      <c r="C441" s="18" t="s">
        <v>11</v>
      </c>
      <c r="D441" s="9">
        <v>46200</v>
      </c>
      <c r="E441" s="17" t="s">
        <v>126</v>
      </c>
      <c r="F441" s="12"/>
      <c r="G441" s="12"/>
      <c r="H441" s="13">
        <v>0</v>
      </c>
      <c r="I441" s="14">
        <v>0</v>
      </c>
      <c r="J441" s="15">
        <v>0</v>
      </c>
      <c r="K441" s="17" t="s">
        <v>116</v>
      </c>
      <c r="P441" s="1"/>
      <c r="U441" s="1"/>
    </row>
    <row r="442" spans="1:21" x14ac:dyDescent="0.3">
      <c r="A442" s="11">
        <v>10002376</v>
      </c>
      <c r="B442" s="17" t="s">
        <v>41</v>
      </c>
      <c r="C442" s="18" t="s">
        <v>11</v>
      </c>
      <c r="D442" s="9">
        <v>46201</v>
      </c>
      <c r="E442" s="17" t="s">
        <v>113</v>
      </c>
      <c r="F442" s="12"/>
      <c r="G442" s="12"/>
      <c r="H442" s="13">
        <v>0</v>
      </c>
      <c r="I442" s="14">
        <v>0</v>
      </c>
      <c r="J442" s="15">
        <v>0</v>
      </c>
      <c r="K442" s="17" t="s">
        <v>116</v>
      </c>
      <c r="P442" s="1"/>
      <c r="U442" s="1"/>
    </row>
    <row r="443" spans="1:21" x14ac:dyDescent="0.3">
      <c r="A443" s="11">
        <v>10002376</v>
      </c>
      <c r="B443" s="17" t="s">
        <v>41</v>
      </c>
      <c r="C443" s="18" t="s">
        <v>11</v>
      </c>
      <c r="D443" s="9">
        <v>46202</v>
      </c>
      <c r="E443" s="17" t="s">
        <v>118</v>
      </c>
      <c r="F443" s="12">
        <v>0.38923611111111112</v>
      </c>
      <c r="G443" s="12">
        <v>0.7768518518518519</v>
      </c>
      <c r="H443" s="13">
        <v>9.3027777777777789</v>
      </c>
      <c r="I443" s="14">
        <v>9</v>
      </c>
      <c r="J443" s="15">
        <v>0.30277777777777892</v>
      </c>
      <c r="K443" s="17" t="s">
        <v>115</v>
      </c>
      <c r="P443" s="1"/>
      <c r="U443" s="1"/>
    </row>
    <row r="444" spans="1:21" x14ac:dyDescent="0.3">
      <c r="A444" s="11">
        <v>10002397</v>
      </c>
      <c r="B444" s="17" t="s">
        <v>20</v>
      </c>
      <c r="C444" s="18" t="s">
        <v>11</v>
      </c>
      <c r="D444" s="9">
        <v>46194</v>
      </c>
      <c r="E444" s="17" t="s">
        <v>113</v>
      </c>
      <c r="F444" s="12"/>
      <c r="G444" s="12"/>
      <c r="H444" s="13">
        <v>0</v>
      </c>
      <c r="I444" s="14">
        <v>0</v>
      </c>
      <c r="J444" s="15">
        <v>0</v>
      </c>
      <c r="K444" s="17" t="s">
        <v>116</v>
      </c>
      <c r="P444" s="1"/>
      <c r="U444" s="1"/>
    </row>
    <row r="445" spans="1:21" x14ac:dyDescent="0.3">
      <c r="A445" s="11">
        <v>10002397</v>
      </c>
      <c r="B445" s="17" t="s">
        <v>20</v>
      </c>
      <c r="C445" s="18" t="s">
        <v>11</v>
      </c>
      <c r="D445" s="9">
        <v>46195</v>
      </c>
      <c r="E445" s="17" t="s">
        <v>118</v>
      </c>
      <c r="F445" s="12">
        <v>0.34732638888888889</v>
      </c>
      <c r="G445" s="12">
        <v>0.34732638888888889</v>
      </c>
      <c r="H445" s="13">
        <v>0</v>
      </c>
      <c r="I445" s="14">
        <v>9</v>
      </c>
      <c r="J445" s="15">
        <v>-9</v>
      </c>
      <c r="K445" s="17" t="s">
        <v>67</v>
      </c>
      <c r="P445" s="1"/>
      <c r="U445" s="1"/>
    </row>
    <row r="446" spans="1:21" x14ac:dyDescent="0.3">
      <c r="A446" s="11">
        <v>10002397</v>
      </c>
      <c r="B446" s="17" t="s">
        <v>20</v>
      </c>
      <c r="C446" s="18" t="s">
        <v>11</v>
      </c>
      <c r="D446" s="9">
        <v>46196</v>
      </c>
      <c r="E446" s="17" t="s">
        <v>119</v>
      </c>
      <c r="F446" s="12">
        <v>0.35474537037037035</v>
      </c>
      <c r="G446" s="12">
        <v>0.35474537037037035</v>
      </c>
      <c r="H446" s="13">
        <v>0</v>
      </c>
      <c r="I446" s="14">
        <v>9</v>
      </c>
      <c r="J446" s="15">
        <v>-9</v>
      </c>
      <c r="K446" s="17" t="s">
        <v>67</v>
      </c>
      <c r="P446" s="1"/>
      <c r="U446" s="1"/>
    </row>
    <row r="447" spans="1:21" x14ac:dyDescent="0.3">
      <c r="A447" s="11">
        <v>10002397</v>
      </c>
      <c r="B447" s="17" t="s">
        <v>20</v>
      </c>
      <c r="C447" s="18" t="s">
        <v>11</v>
      </c>
      <c r="D447" s="9">
        <v>46197</v>
      </c>
      <c r="E447" s="17" t="s">
        <v>123</v>
      </c>
      <c r="F447" s="12">
        <v>0.35525462962962961</v>
      </c>
      <c r="G447" s="12">
        <v>0.35525462962962961</v>
      </c>
      <c r="H447" s="13">
        <v>0</v>
      </c>
      <c r="I447" s="14">
        <v>9</v>
      </c>
      <c r="J447" s="15">
        <v>-9</v>
      </c>
      <c r="K447" s="17" t="s">
        <v>67</v>
      </c>
      <c r="P447" s="1"/>
      <c r="U447" s="1"/>
    </row>
    <row r="448" spans="1:21" x14ac:dyDescent="0.3">
      <c r="A448" s="11">
        <v>10002397</v>
      </c>
      <c r="B448" s="17" t="s">
        <v>20</v>
      </c>
      <c r="C448" s="18" t="s">
        <v>11</v>
      </c>
      <c r="D448" s="9">
        <v>46198</v>
      </c>
      <c r="E448" s="17" t="s">
        <v>124</v>
      </c>
      <c r="F448" s="12">
        <v>0.3449652777777778</v>
      </c>
      <c r="G448" s="12">
        <v>0.3449652777777778</v>
      </c>
      <c r="H448" s="13">
        <v>0</v>
      </c>
      <c r="I448" s="14">
        <v>9</v>
      </c>
      <c r="J448" s="15">
        <v>-9</v>
      </c>
      <c r="K448" s="17" t="s">
        <v>67</v>
      </c>
      <c r="P448" s="1"/>
      <c r="U448" s="1"/>
    </row>
    <row r="449" spans="1:21" x14ac:dyDescent="0.3">
      <c r="A449" s="11">
        <v>10002397</v>
      </c>
      <c r="B449" s="17" t="s">
        <v>20</v>
      </c>
      <c r="C449" s="18" t="s">
        <v>11</v>
      </c>
      <c r="D449" s="9">
        <v>46199</v>
      </c>
      <c r="E449" s="17" t="s">
        <v>125</v>
      </c>
      <c r="F449" s="12">
        <v>0.35716435185185186</v>
      </c>
      <c r="G449" s="12">
        <v>0.35716435185185186</v>
      </c>
      <c r="H449" s="13">
        <v>0</v>
      </c>
      <c r="I449" s="14">
        <v>4</v>
      </c>
      <c r="J449" s="15">
        <v>-4</v>
      </c>
      <c r="K449" s="17" t="s">
        <v>67</v>
      </c>
      <c r="P449" s="1"/>
      <c r="U449" s="1"/>
    </row>
    <row r="450" spans="1:21" x14ac:dyDescent="0.3">
      <c r="A450" s="11">
        <v>10002397</v>
      </c>
      <c r="B450" s="17" t="s">
        <v>20</v>
      </c>
      <c r="C450" s="18" t="s">
        <v>11</v>
      </c>
      <c r="D450" s="9">
        <v>46200</v>
      </c>
      <c r="E450" s="17" t="s">
        <v>126</v>
      </c>
      <c r="F450" s="12"/>
      <c r="G450" s="12"/>
      <c r="H450" s="13">
        <v>0</v>
      </c>
      <c r="I450" s="14">
        <v>0</v>
      </c>
      <c r="J450" s="15">
        <v>0</v>
      </c>
      <c r="K450" s="17" t="s">
        <v>116</v>
      </c>
      <c r="P450" s="1"/>
      <c r="U450" s="1"/>
    </row>
    <row r="451" spans="1:21" x14ac:dyDescent="0.3">
      <c r="A451" s="11">
        <v>10002397</v>
      </c>
      <c r="B451" s="17" t="s">
        <v>20</v>
      </c>
      <c r="C451" s="18" t="s">
        <v>11</v>
      </c>
      <c r="D451" s="9">
        <v>46201</v>
      </c>
      <c r="E451" s="17" t="s">
        <v>113</v>
      </c>
      <c r="F451" s="12"/>
      <c r="G451" s="12"/>
      <c r="H451" s="13">
        <v>0</v>
      </c>
      <c r="I451" s="14">
        <v>0</v>
      </c>
      <c r="J451" s="15">
        <v>0</v>
      </c>
      <c r="K451" s="17" t="s">
        <v>116</v>
      </c>
      <c r="P451" s="1"/>
      <c r="U451" s="1"/>
    </row>
    <row r="452" spans="1:21" x14ac:dyDescent="0.3">
      <c r="A452" s="11">
        <v>10002397</v>
      </c>
      <c r="B452" s="17" t="s">
        <v>20</v>
      </c>
      <c r="C452" s="18" t="s">
        <v>11</v>
      </c>
      <c r="D452" s="9">
        <v>46202</v>
      </c>
      <c r="E452" s="17" t="s">
        <v>118</v>
      </c>
      <c r="F452" s="12">
        <v>0.35714120370370372</v>
      </c>
      <c r="G452" s="12">
        <v>0.35714120370370372</v>
      </c>
      <c r="H452" s="13">
        <v>0</v>
      </c>
      <c r="I452" s="14">
        <v>9</v>
      </c>
      <c r="J452" s="15">
        <v>-9</v>
      </c>
      <c r="K452" s="17" t="s">
        <v>67</v>
      </c>
      <c r="P452" s="1"/>
      <c r="U452" s="1"/>
    </row>
    <row r="453" spans="1:21" x14ac:dyDescent="0.3">
      <c r="A453" s="11">
        <v>10002422</v>
      </c>
      <c r="B453" s="17" t="s">
        <v>34</v>
      </c>
      <c r="C453" s="18" t="s">
        <v>11</v>
      </c>
      <c r="D453" s="9">
        <v>46194</v>
      </c>
      <c r="E453" s="17" t="s">
        <v>113</v>
      </c>
      <c r="F453" s="12"/>
      <c r="G453" s="12"/>
      <c r="H453" s="13">
        <v>0</v>
      </c>
      <c r="I453" s="14">
        <v>0</v>
      </c>
      <c r="J453" s="15">
        <v>0</v>
      </c>
      <c r="K453" s="17" t="s">
        <v>116</v>
      </c>
      <c r="P453" s="1"/>
      <c r="U453" s="1"/>
    </row>
    <row r="454" spans="1:21" x14ac:dyDescent="0.3">
      <c r="A454" s="11">
        <v>10002422</v>
      </c>
      <c r="B454" s="17" t="s">
        <v>34</v>
      </c>
      <c r="C454" s="18" t="s">
        <v>11</v>
      </c>
      <c r="D454" s="9">
        <v>46195</v>
      </c>
      <c r="E454" s="17" t="s">
        <v>118</v>
      </c>
      <c r="F454" s="12">
        <v>0.35415509259259259</v>
      </c>
      <c r="G454" s="12">
        <v>0.72998842592592594</v>
      </c>
      <c r="H454" s="13">
        <v>9.02</v>
      </c>
      <c r="I454" s="14">
        <v>9</v>
      </c>
      <c r="J454" s="15">
        <v>1.9999999999999574E-2</v>
      </c>
      <c r="K454" s="17" t="s">
        <v>115</v>
      </c>
      <c r="P454" s="1"/>
      <c r="U454" s="1"/>
    </row>
    <row r="455" spans="1:21" x14ac:dyDescent="0.3">
      <c r="A455" s="11">
        <v>10002422</v>
      </c>
      <c r="B455" s="17" t="s">
        <v>34</v>
      </c>
      <c r="C455" s="18" t="s">
        <v>11</v>
      </c>
      <c r="D455" s="9">
        <v>46196</v>
      </c>
      <c r="E455" s="17" t="s">
        <v>119</v>
      </c>
      <c r="F455" s="12">
        <v>0.35416666666666669</v>
      </c>
      <c r="G455" s="12">
        <v>0.72995370370370372</v>
      </c>
      <c r="H455" s="13">
        <v>9.0188888888888883</v>
      </c>
      <c r="I455" s="14">
        <v>9</v>
      </c>
      <c r="J455" s="15">
        <v>1.8888888888888289E-2</v>
      </c>
      <c r="K455" s="17" t="s">
        <v>115</v>
      </c>
      <c r="P455" s="1"/>
      <c r="U455" s="1"/>
    </row>
    <row r="456" spans="1:21" x14ac:dyDescent="0.3">
      <c r="A456" s="11">
        <v>10002422</v>
      </c>
      <c r="B456" s="17" t="s">
        <v>34</v>
      </c>
      <c r="C456" s="18" t="s">
        <v>11</v>
      </c>
      <c r="D456" s="9">
        <v>46197</v>
      </c>
      <c r="E456" s="17" t="s">
        <v>123</v>
      </c>
      <c r="F456" s="12">
        <v>0.35425925925925927</v>
      </c>
      <c r="G456" s="12">
        <v>0.73085648148148152</v>
      </c>
      <c r="H456" s="13">
        <v>9.038333333333334</v>
      </c>
      <c r="I456" s="14">
        <v>9</v>
      </c>
      <c r="J456" s="15">
        <v>3.8333333333333997E-2</v>
      </c>
      <c r="K456" s="17" t="s">
        <v>115</v>
      </c>
      <c r="P456" s="1"/>
      <c r="U456" s="1"/>
    </row>
    <row r="457" spans="1:21" x14ac:dyDescent="0.3">
      <c r="A457" s="11">
        <v>10002422</v>
      </c>
      <c r="B457" s="17" t="s">
        <v>34</v>
      </c>
      <c r="C457" s="18" t="s">
        <v>11</v>
      </c>
      <c r="D457" s="9">
        <v>46198</v>
      </c>
      <c r="E457" s="17" t="s">
        <v>124</v>
      </c>
      <c r="F457" s="12">
        <v>0.3540740740740741</v>
      </c>
      <c r="G457" s="12">
        <v>0.73113425925925923</v>
      </c>
      <c r="H457" s="13">
        <v>9.0494444444444433</v>
      </c>
      <c r="I457" s="14">
        <v>9</v>
      </c>
      <c r="J457" s="15">
        <v>4.9444444444443292E-2</v>
      </c>
      <c r="K457" s="17" t="s">
        <v>115</v>
      </c>
      <c r="P457" s="1"/>
      <c r="U457" s="1"/>
    </row>
    <row r="458" spans="1:21" x14ac:dyDescent="0.3">
      <c r="A458" s="11">
        <v>10002422</v>
      </c>
      <c r="B458" s="17" t="s">
        <v>34</v>
      </c>
      <c r="C458" s="18" t="s">
        <v>11</v>
      </c>
      <c r="D458" s="9">
        <v>46199</v>
      </c>
      <c r="E458" s="17" t="s">
        <v>125</v>
      </c>
      <c r="F458" s="12">
        <v>0.35473379629629631</v>
      </c>
      <c r="G458" s="12">
        <v>0.52210648148148153</v>
      </c>
      <c r="H458" s="13">
        <v>4.0169444444444453</v>
      </c>
      <c r="I458" s="14">
        <v>4</v>
      </c>
      <c r="J458" s="15">
        <v>1.6944444444445317E-2</v>
      </c>
      <c r="K458" s="17" t="s">
        <v>115</v>
      </c>
      <c r="P458" s="1"/>
      <c r="U458" s="1"/>
    </row>
    <row r="459" spans="1:21" x14ac:dyDescent="0.3">
      <c r="A459" s="11">
        <v>10002422</v>
      </c>
      <c r="B459" s="17" t="s">
        <v>34</v>
      </c>
      <c r="C459" s="18" t="s">
        <v>11</v>
      </c>
      <c r="D459" s="9">
        <v>46200</v>
      </c>
      <c r="E459" s="17" t="s">
        <v>126</v>
      </c>
      <c r="F459" s="12"/>
      <c r="G459" s="12"/>
      <c r="H459" s="13">
        <v>0</v>
      </c>
      <c r="I459" s="14">
        <v>0</v>
      </c>
      <c r="J459" s="15">
        <v>0</v>
      </c>
      <c r="K459" s="17" t="s">
        <v>116</v>
      </c>
      <c r="P459" s="1"/>
      <c r="U459" s="1"/>
    </row>
    <row r="460" spans="1:21" x14ac:dyDescent="0.3">
      <c r="A460" s="11">
        <v>10002422</v>
      </c>
      <c r="B460" s="17" t="s">
        <v>34</v>
      </c>
      <c r="C460" s="18" t="s">
        <v>11</v>
      </c>
      <c r="D460" s="9">
        <v>46201</v>
      </c>
      <c r="E460" s="17" t="s">
        <v>113</v>
      </c>
      <c r="F460" s="12"/>
      <c r="G460" s="12"/>
      <c r="H460" s="13">
        <v>0</v>
      </c>
      <c r="I460" s="14">
        <v>0</v>
      </c>
      <c r="J460" s="15">
        <v>0</v>
      </c>
      <c r="K460" s="17" t="s">
        <v>116</v>
      </c>
      <c r="P460" s="1"/>
      <c r="U460" s="1"/>
    </row>
    <row r="461" spans="1:21" x14ac:dyDescent="0.3">
      <c r="A461" s="11">
        <v>10002422</v>
      </c>
      <c r="B461" s="17" t="s">
        <v>34</v>
      </c>
      <c r="C461" s="18" t="s">
        <v>11</v>
      </c>
      <c r="D461" s="9">
        <v>46202</v>
      </c>
      <c r="E461" s="17" t="s">
        <v>118</v>
      </c>
      <c r="F461" s="12">
        <v>0.3538310185185185</v>
      </c>
      <c r="G461" s="12">
        <v>0.73053240740740744</v>
      </c>
      <c r="H461" s="13">
        <v>9.0408333333333353</v>
      </c>
      <c r="I461" s="14">
        <v>9</v>
      </c>
      <c r="J461" s="15">
        <v>4.0833333333335275E-2</v>
      </c>
      <c r="K461" s="17" t="s">
        <v>115</v>
      </c>
      <c r="P461" s="1"/>
      <c r="U461" s="1"/>
    </row>
    <row r="462" spans="1:21" x14ac:dyDescent="0.3">
      <c r="A462" s="11">
        <v>10002432</v>
      </c>
      <c r="B462" s="17" t="s">
        <v>27</v>
      </c>
      <c r="C462" s="18" t="s">
        <v>17</v>
      </c>
      <c r="D462" s="9">
        <v>46194</v>
      </c>
      <c r="E462" s="17" t="s">
        <v>113</v>
      </c>
      <c r="F462" s="12"/>
      <c r="G462" s="12"/>
      <c r="H462" s="13">
        <v>0</v>
      </c>
      <c r="I462" s="14">
        <v>0</v>
      </c>
      <c r="J462" s="15">
        <v>0</v>
      </c>
      <c r="K462" s="17" t="s">
        <v>116</v>
      </c>
      <c r="P462" s="1"/>
      <c r="U462" s="1"/>
    </row>
    <row r="463" spans="1:21" x14ac:dyDescent="0.3">
      <c r="A463" s="11">
        <v>10002432</v>
      </c>
      <c r="B463" s="17" t="s">
        <v>27</v>
      </c>
      <c r="C463" s="18" t="s">
        <v>17</v>
      </c>
      <c r="D463" s="9">
        <v>46195</v>
      </c>
      <c r="E463" s="17" t="s">
        <v>118</v>
      </c>
      <c r="F463" s="12">
        <v>0.33346064814814813</v>
      </c>
      <c r="G463" s="12">
        <v>0.71108796296296295</v>
      </c>
      <c r="H463" s="13">
        <v>9.0630555555555556</v>
      </c>
      <c r="I463" s="14">
        <v>9</v>
      </c>
      <c r="J463" s="15">
        <v>6.3055555555555642E-2</v>
      </c>
      <c r="K463" s="17" t="s">
        <v>115</v>
      </c>
      <c r="P463" s="1"/>
      <c r="U463" s="1"/>
    </row>
    <row r="464" spans="1:21" x14ac:dyDescent="0.3">
      <c r="A464" s="11">
        <v>10002432</v>
      </c>
      <c r="B464" s="17" t="s">
        <v>27</v>
      </c>
      <c r="C464" s="18" t="s">
        <v>17</v>
      </c>
      <c r="D464" s="9">
        <v>46196</v>
      </c>
      <c r="E464" s="17" t="s">
        <v>119</v>
      </c>
      <c r="F464" s="12">
        <v>0.33574074074074073</v>
      </c>
      <c r="G464" s="12">
        <v>0.71206018518518521</v>
      </c>
      <c r="H464" s="13">
        <v>9.0316666666666681</v>
      </c>
      <c r="I464" s="14">
        <v>9</v>
      </c>
      <c r="J464" s="15">
        <v>3.1666666666668064E-2</v>
      </c>
      <c r="K464" s="17" t="s">
        <v>115</v>
      </c>
      <c r="P464" s="1"/>
      <c r="U464" s="1"/>
    </row>
    <row r="465" spans="1:21" x14ac:dyDescent="0.3">
      <c r="A465" s="11">
        <v>10002432</v>
      </c>
      <c r="B465" s="17" t="s">
        <v>27</v>
      </c>
      <c r="C465" s="18" t="s">
        <v>17</v>
      </c>
      <c r="D465" s="9">
        <v>46197</v>
      </c>
      <c r="E465" s="17" t="s">
        <v>123</v>
      </c>
      <c r="F465" s="12">
        <v>0.33226851851851852</v>
      </c>
      <c r="G465" s="12">
        <v>0.71300925925925929</v>
      </c>
      <c r="H465" s="13">
        <v>9.137777777777778</v>
      </c>
      <c r="I465" s="14">
        <v>9</v>
      </c>
      <c r="J465" s="15">
        <v>0.137777777777778</v>
      </c>
      <c r="K465" s="17" t="s">
        <v>115</v>
      </c>
      <c r="P465" s="1"/>
      <c r="U465" s="1"/>
    </row>
    <row r="466" spans="1:21" x14ac:dyDescent="0.3">
      <c r="A466" s="11">
        <v>10002432</v>
      </c>
      <c r="B466" s="17" t="s">
        <v>27</v>
      </c>
      <c r="C466" s="18" t="s">
        <v>17</v>
      </c>
      <c r="D466" s="9">
        <v>46198</v>
      </c>
      <c r="E466" s="17" t="s">
        <v>124</v>
      </c>
      <c r="F466" s="12">
        <v>0.33354166666666668</v>
      </c>
      <c r="G466" s="12">
        <v>0.71187500000000004</v>
      </c>
      <c r="H466" s="13">
        <v>9.08</v>
      </c>
      <c r="I466" s="14">
        <v>9</v>
      </c>
      <c r="J466" s="15">
        <v>8.0000000000000071E-2</v>
      </c>
      <c r="K466" s="17" t="s">
        <v>115</v>
      </c>
      <c r="P466" s="1"/>
      <c r="U466" s="1"/>
    </row>
    <row r="467" spans="1:21" x14ac:dyDescent="0.3">
      <c r="A467" s="11">
        <v>10002432</v>
      </c>
      <c r="B467" s="17" t="s">
        <v>27</v>
      </c>
      <c r="C467" s="18" t="s">
        <v>17</v>
      </c>
      <c r="D467" s="9">
        <v>46199</v>
      </c>
      <c r="E467" s="17" t="s">
        <v>125</v>
      </c>
      <c r="F467" s="12">
        <v>0.33461805555555557</v>
      </c>
      <c r="G467" s="12">
        <v>0.5072106481481482</v>
      </c>
      <c r="H467" s="13">
        <v>4.1422222222222231</v>
      </c>
      <c r="I467" s="14">
        <v>4</v>
      </c>
      <c r="J467" s="15">
        <v>0.14222222222222314</v>
      </c>
      <c r="K467" s="17" t="s">
        <v>115</v>
      </c>
      <c r="P467" s="1"/>
      <c r="U467" s="1"/>
    </row>
    <row r="468" spans="1:21" x14ac:dyDescent="0.3">
      <c r="A468" s="11">
        <v>10002432</v>
      </c>
      <c r="B468" s="17" t="s">
        <v>27</v>
      </c>
      <c r="C468" s="18" t="s">
        <v>17</v>
      </c>
      <c r="D468" s="9">
        <v>46200</v>
      </c>
      <c r="E468" s="17" t="s">
        <v>126</v>
      </c>
      <c r="F468" s="12"/>
      <c r="G468" s="12"/>
      <c r="H468" s="13">
        <v>0</v>
      </c>
      <c r="I468" s="14">
        <v>0</v>
      </c>
      <c r="J468" s="15">
        <v>0</v>
      </c>
      <c r="K468" s="17" t="s">
        <v>116</v>
      </c>
      <c r="P468" s="1"/>
      <c r="U468" s="1"/>
    </row>
    <row r="469" spans="1:21" x14ac:dyDescent="0.3">
      <c r="A469" s="11">
        <v>10002432</v>
      </c>
      <c r="B469" s="17" t="s">
        <v>27</v>
      </c>
      <c r="C469" s="18" t="s">
        <v>17</v>
      </c>
      <c r="D469" s="9">
        <v>46201</v>
      </c>
      <c r="E469" s="17" t="s">
        <v>113</v>
      </c>
      <c r="F469" s="12"/>
      <c r="G469" s="12"/>
      <c r="H469" s="13">
        <v>0</v>
      </c>
      <c r="I469" s="14">
        <v>0</v>
      </c>
      <c r="J469" s="15">
        <v>0</v>
      </c>
      <c r="K469" s="17" t="s">
        <v>116</v>
      </c>
      <c r="P469" s="1"/>
      <c r="U469" s="1"/>
    </row>
    <row r="470" spans="1:21" x14ac:dyDescent="0.3">
      <c r="A470" s="11">
        <v>10002432</v>
      </c>
      <c r="B470" s="17" t="s">
        <v>27</v>
      </c>
      <c r="C470" s="18" t="s">
        <v>17</v>
      </c>
      <c r="D470" s="9">
        <v>46202</v>
      </c>
      <c r="E470" s="17" t="s">
        <v>118</v>
      </c>
      <c r="F470" s="12">
        <v>0.33067129629629627</v>
      </c>
      <c r="G470" s="12">
        <v>0.71108796296296295</v>
      </c>
      <c r="H470" s="13">
        <v>9.1300000000000008</v>
      </c>
      <c r="I470" s="14">
        <v>9</v>
      </c>
      <c r="J470" s="15">
        <v>0.13000000000000078</v>
      </c>
      <c r="K470" s="17" t="s">
        <v>115</v>
      </c>
      <c r="P470" s="1"/>
      <c r="U470" s="1"/>
    </row>
    <row r="471" spans="1:21" x14ac:dyDescent="0.3">
      <c r="A471" s="11">
        <v>10002435</v>
      </c>
      <c r="B471" s="17" t="s">
        <v>81</v>
      </c>
      <c r="C471" s="18" t="s">
        <v>100</v>
      </c>
      <c r="D471" s="9">
        <v>46194</v>
      </c>
      <c r="E471" s="17" t="s">
        <v>113</v>
      </c>
      <c r="F471" s="12"/>
      <c r="G471" s="12"/>
      <c r="H471" s="13">
        <v>0</v>
      </c>
      <c r="I471" s="14">
        <v>0</v>
      </c>
      <c r="J471" s="15">
        <v>0</v>
      </c>
      <c r="K471" s="17" t="s">
        <v>116</v>
      </c>
      <c r="P471" s="1"/>
      <c r="U471" s="1"/>
    </row>
    <row r="472" spans="1:21" x14ac:dyDescent="0.3">
      <c r="A472" s="11">
        <v>10002435</v>
      </c>
      <c r="B472" s="17" t="s">
        <v>81</v>
      </c>
      <c r="C472" s="18" t="s">
        <v>100</v>
      </c>
      <c r="D472" s="9">
        <v>46195</v>
      </c>
      <c r="E472" s="17" t="s">
        <v>118</v>
      </c>
      <c r="F472" s="12">
        <v>0.34410879629629632</v>
      </c>
      <c r="G472" s="12">
        <v>0.76719907407407406</v>
      </c>
      <c r="H472" s="13">
        <v>10.154166666666665</v>
      </c>
      <c r="I472" s="14">
        <v>9</v>
      </c>
      <c r="J472" s="15">
        <v>1.154166666666665</v>
      </c>
      <c r="K472" s="17" t="s">
        <v>115</v>
      </c>
      <c r="P472" s="1"/>
      <c r="U472" s="1"/>
    </row>
    <row r="473" spans="1:21" x14ac:dyDescent="0.3">
      <c r="A473" s="11">
        <v>10002435</v>
      </c>
      <c r="B473" s="17" t="s">
        <v>81</v>
      </c>
      <c r="C473" s="18" t="s">
        <v>100</v>
      </c>
      <c r="D473" s="9">
        <v>46196</v>
      </c>
      <c r="E473" s="17" t="s">
        <v>119</v>
      </c>
      <c r="F473" s="12">
        <v>0.34495370370370371</v>
      </c>
      <c r="G473" s="12">
        <v>0.7887615740740741</v>
      </c>
      <c r="H473" s="13">
        <v>10.651388888888889</v>
      </c>
      <c r="I473" s="14">
        <v>9</v>
      </c>
      <c r="J473" s="15">
        <v>1.6513888888888886</v>
      </c>
      <c r="K473" s="17" t="s">
        <v>115</v>
      </c>
      <c r="P473" s="1"/>
      <c r="U473" s="1"/>
    </row>
    <row r="474" spans="1:21" x14ac:dyDescent="0.3">
      <c r="A474" s="11">
        <v>10002435</v>
      </c>
      <c r="B474" s="17" t="s">
        <v>81</v>
      </c>
      <c r="C474" s="18" t="s">
        <v>100</v>
      </c>
      <c r="D474" s="9">
        <v>46197</v>
      </c>
      <c r="E474" s="17" t="s">
        <v>123</v>
      </c>
      <c r="F474" s="12">
        <v>0.34335648148148146</v>
      </c>
      <c r="G474" s="12">
        <v>0.77006944444444447</v>
      </c>
      <c r="H474" s="13">
        <v>10.241111111111113</v>
      </c>
      <c r="I474" s="14">
        <v>9</v>
      </c>
      <c r="J474" s="15">
        <v>1.2411111111111133</v>
      </c>
      <c r="K474" s="17" t="s">
        <v>115</v>
      </c>
      <c r="P474" s="1"/>
      <c r="U474" s="1"/>
    </row>
    <row r="475" spans="1:21" x14ac:dyDescent="0.3">
      <c r="A475" s="11">
        <v>10002435</v>
      </c>
      <c r="B475" s="17" t="s">
        <v>81</v>
      </c>
      <c r="C475" s="18" t="s">
        <v>100</v>
      </c>
      <c r="D475" s="9">
        <v>46198</v>
      </c>
      <c r="E475" s="17" t="s">
        <v>124</v>
      </c>
      <c r="F475" s="12">
        <v>0.3382060185185185</v>
      </c>
      <c r="G475" s="12">
        <v>0.79394675925925928</v>
      </c>
      <c r="H475" s="13">
        <v>10.937777777777779</v>
      </c>
      <c r="I475" s="14">
        <v>9</v>
      </c>
      <c r="J475" s="15">
        <v>1.9377777777777787</v>
      </c>
      <c r="K475" s="17" t="s">
        <v>115</v>
      </c>
      <c r="P475" s="1"/>
      <c r="U475" s="1"/>
    </row>
    <row r="476" spans="1:21" x14ac:dyDescent="0.3">
      <c r="A476" s="11">
        <v>10002435</v>
      </c>
      <c r="B476" s="17" t="s">
        <v>81</v>
      </c>
      <c r="C476" s="18" t="s">
        <v>100</v>
      </c>
      <c r="D476" s="9">
        <v>46199</v>
      </c>
      <c r="E476" s="17" t="s">
        <v>125</v>
      </c>
      <c r="F476" s="12">
        <v>0.33878472222222222</v>
      </c>
      <c r="G476" s="12">
        <v>0.55033564814814817</v>
      </c>
      <c r="H476" s="13">
        <v>5.0772222222222227</v>
      </c>
      <c r="I476" s="14">
        <v>4</v>
      </c>
      <c r="J476" s="15">
        <v>1.0772222222222227</v>
      </c>
      <c r="K476" s="17" t="s">
        <v>115</v>
      </c>
      <c r="P476" s="1"/>
      <c r="U476" s="1"/>
    </row>
    <row r="477" spans="1:21" x14ac:dyDescent="0.3">
      <c r="A477" s="11">
        <v>10002435</v>
      </c>
      <c r="B477" s="17" t="s">
        <v>81</v>
      </c>
      <c r="C477" s="18" t="s">
        <v>100</v>
      </c>
      <c r="D477" s="9">
        <v>46200</v>
      </c>
      <c r="E477" s="17" t="s">
        <v>126</v>
      </c>
      <c r="F477" s="12"/>
      <c r="G477" s="12"/>
      <c r="H477" s="13">
        <v>0</v>
      </c>
      <c r="I477" s="14">
        <v>0</v>
      </c>
      <c r="J477" s="15">
        <v>0</v>
      </c>
      <c r="K477" s="17" t="s">
        <v>116</v>
      </c>
      <c r="P477" s="1"/>
      <c r="U477" s="1"/>
    </row>
    <row r="478" spans="1:21" x14ac:dyDescent="0.3">
      <c r="A478" s="11">
        <v>10002435</v>
      </c>
      <c r="B478" s="17" t="s">
        <v>81</v>
      </c>
      <c r="C478" s="18" t="s">
        <v>100</v>
      </c>
      <c r="D478" s="9">
        <v>46201</v>
      </c>
      <c r="E478" s="17" t="s">
        <v>113</v>
      </c>
      <c r="F478" s="12"/>
      <c r="G478" s="12"/>
      <c r="H478" s="13">
        <v>0</v>
      </c>
      <c r="I478" s="14">
        <v>0</v>
      </c>
      <c r="J478" s="15">
        <v>0</v>
      </c>
      <c r="K478" s="17" t="s">
        <v>116</v>
      </c>
      <c r="P478" s="1"/>
      <c r="U478" s="1"/>
    </row>
    <row r="479" spans="1:21" x14ac:dyDescent="0.3">
      <c r="A479" s="11">
        <v>10002435</v>
      </c>
      <c r="B479" s="17" t="s">
        <v>81</v>
      </c>
      <c r="C479" s="18" t="s">
        <v>100</v>
      </c>
      <c r="D479" s="9">
        <v>46202</v>
      </c>
      <c r="E479" s="17" t="s">
        <v>118</v>
      </c>
      <c r="F479" s="12">
        <v>0.33938657407407408</v>
      </c>
      <c r="G479" s="12">
        <v>0.78560185185185183</v>
      </c>
      <c r="H479" s="13">
        <v>10.709166666666667</v>
      </c>
      <c r="I479" s="14">
        <v>9</v>
      </c>
      <c r="J479" s="15">
        <v>1.7091666666666665</v>
      </c>
      <c r="K479" s="17" t="s">
        <v>115</v>
      </c>
      <c r="P479" s="1"/>
      <c r="U479" s="1"/>
    </row>
    <row r="480" spans="1:21" x14ac:dyDescent="0.3">
      <c r="A480" s="11">
        <v>10002450</v>
      </c>
      <c r="B480" s="17" t="s">
        <v>28</v>
      </c>
      <c r="C480" s="18" t="s">
        <v>11</v>
      </c>
      <c r="D480" s="9">
        <v>46194</v>
      </c>
      <c r="E480" s="17" t="s">
        <v>113</v>
      </c>
      <c r="F480" s="12"/>
      <c r="G480" s="12"/>
      <c r="H480" s="13">
        <v>0</v>
      </c>
      <c r="I480" s="14">
        <v>0</v>
      </c>
      <c r="J480" s="15">
        <v>0</v>
      </c>
      <c r="K480" s="17" t="s">
        <v>116</v>
      </c>
      <c r="P480" s="1"/>
      <c r="U480" s="1"/>
    </row>
    <row r="481" spans="1:21" x14ac:dyDescent="0.3">
      <c r="A481" s="11">
        <v>10002450</v>
      </c>
      <c r="B481" s="17" t="s">
        <v>28</v>
      </c>
      <c r="C481" s="18" t="s">
        <v>11</v>
      </c>
      <c r="D481" s="9">
        <v>46195</v>
      </c>
      <c r="E481" s="17" t="s">
        <v>118</v>
      </c>
      <c r="F481" s="12">
        <v>0.33923611111111113</v>
      </c>
      <c r="G481" s="12">
        <v>0.67358796296296297</v>
      </c>
      <c r="H481" s="13">
        <v>8.0244444444444447</v>
      </c>
      <c r="I481" s="14">
        <v>8</v>
      </c>
      <c r="J481" s="15">
        <v>2.4444444444444713E-2</v>
      </c>
      <c r="K481" s="17" t="s">
        <v>115</v>
      </c>
      <c r="P481" s="1"/>
      <c r="U481" s="1"/>
    </row>
    <row r="482" spans="1:21" x14ac:dyDescent="0.3">
      <c r="A482" s="11">
        <v>10002450</v>
      </c>
      <c r="B482" s="17" t="s">
        <v>28</v>
      </c>
      <c r="C482" s="18" t="s">
        <v>11</v>
      </c>
      <c r="D482" s="9">
        <v>46196</v>
      </c>
      <c r="E482" s="17" t="s">
        <v>119</v>
      </c>
      <c r="F482" s="12">
        <v>0.33266203703703706</v>
      </c>
      <c r="G482" s="12">
        <v>0.6686805555555555</v>
      </c>
      <c r="H482" s="13">
        <v>8.0644444444444421</v>
      </c>
      <c r="I482" s="14">
        <v>8</v>
      </c>
      <c r="J482" s="15">
        <v>6.4444444444442084E-2</v>
      </c>
      <c r="K482" s="17" t="s">
        <v>115</v>
      </c>
      <c r="P482" s="1"/>
      <c r="U482" s="1"/>
    </row>
    <row r="483" spans="1:21" x14ac:dyDescent="0.3">
      <c r="A483" s="11">
        <v>10002450</v>
      </c>
      <c r="B483" s="17" t="s">
        <v>28</v>
      </c>
      <c r="C483" s="18" t="s">
        <v>11</v>
      </c>
      <c r="D483" s="9">
        <v>46197</v>
      </c>
      <c r="E483" s="17" t="s">
        <v>123</v>
      </c>
      <c r="F483" s="12">
        <v>0.33539351851851851</v>
      </c>
      <c r="G483" s="12">
        <v>0.66942129629629632</v>
      </c>
      <c r="H483" s="13">
        <v>8.0166666666666675</v>
      </c>
      <c r="I483" s="14">
        <v>8</v>
      </c>
      <c r="J483" s="15">
        <v>1.6666666666667496E-2</v>
      </c>
      <c r="K483" s="17" t="s">
        <v>115</v>
      </c>
      <c r="P483" s="1"/>
      <c r="U483" s="1"/>
    </row>
    <row r="484" spans="1:21" x14ac:dyDescent="0.3">
      <c r="A484" s="11">
        <v>10002450</v>
      </c>
      <c r="B484" s="17" t="s">
        <v>28</v>
      </c>
      <c r="C484" s="18" t="s">
        <v>11</v>
      </c>
      <c r="D484" s="9">
        <v>46198</v>
      </c>
      <c r="E484" s="17" t="s">
        <v>124</v>
      </c>
      <c r="F484" s="12">
        <v>0.33835648148148151</v>
      </c>
      <c r="G484" s="12">
        <v>0.67304398148148148</v>
      </c>
      <c r="H484" s="13">
        <v>8.0324999999999989</v>
      </c>
      <c r="I484" s="14">
        <v>8</v>
      </c>
      <c r="J484" s="15">
        <v>3.2499999999998863E-2</v>
      </c>
      <c r="K484" s="17" t="s">
        <v>115</v>
      </c>
      <c r="P484" s="1"/>
      <c r="U484" s="1"/>
    </row>
    <row r="485" spans="1:21" x14ac:dyDescent="0.3">
      <c r="A485" s="11">
        <v>10002450</v>
      </c>
      <c r="B485" s="17" t="s">
        <v>28</v>
      </c>
      <c r="C485" s="18" t="s">
        <v>11</v>
      </c>
      <c r="D485" s="9">
        <v>46199</v>
      </c>
      <c r="E485" s="17" t="s">
        <v>125</v>
      </c>
      <c r="F485" s="12">
        <v>0.36206018518518518</v>
      </c>
      <c r="G485" s="12">
        <v>0.50133101851851847</v>
      </c>
      <c r="H485" s="13">
        <v>3.3424999999999989</v>
      </c>
      <c r="I485" s="14">
        <v>4</v>
      </c>
      <c r="J485" s="15">
        <v>-0.65750000000000108</v>
      </c>
      <c r="K485" s="17" t="s">
        <v>121</v>
      </c>
      <c r="P485" s="1"/>
      <c r="U485" s="1"/>
    </row>
    <row r="486" spans="1:21" x14ac:dyDescent="0.3">
      <c r="A486" s="11">
        <v>10002450</v>
      </c>
      <c r="B486" s="17" t="s">
        <v>28</v>
      </c>
      <c r="C486" s="18" t="s">
        <v>11</v>
      </c>
      <c r="D486" s="9">
        <v>46200</v>
      </c>
      <c r="E486" s="17" t="s">
        <v>126</v>
      </c>
      <c r="F486" s="12"/>
      <c r="G486" s="12"/>
      <c r="H486" s="13">
        <v>0</v>
      </c>
      <c r="I486" s="14">
        <v>0</v>
      </c>
      <c r="J486" s="15">
        <v>0</v>
      </c>
      <c r="K486" s="17" t="s">
        <v>116</v>
      </c>
      <c r="P486" s="1"/>
      <c r="U486" s="1"/>
    </row>
    <row r="487" spans="1:21" x14ac:dyDescent="0.3">
      <c r="A487" s="11">
        <v>10002450</v>
      </c>
      <c r="B487" s="17" t="s">
        <v>28</v>
      </c>
      <c r="C487" s="18" t="s">
        <v>11</v>
      </c>
      <c r="D487" s="9">
        <v>46201</v>
      </c>
      <c r="E487" s="17" t="s">
        <v>113</v>
      </c>
      <c r="F487" s="12"/>
      <c r="G487" s="12"/>
      <c r="H487" s="13">
        <v>0</v>
      </c>
      <c r="I487" s="14">
        <v>0</v>
      </c>
      <c r="J487" s="15">
        <v>0</v>
      </c>
      <c r="K487" s="17" t="s">
        <v>116</v>
      </c>
      <c r="P487" s="1"/>
      <c r="U487" s="1"/>
    </row>
    <row r="488" spans="1:21" x14ac:dyDescent="0.3">
      <c r="A488" s="11">
        <v>10002450</v>
      </c>
      <c r="B488" s="17" t="s">
        <v>28</v>
      </c>
      <c r="C488" s="18" t="s">
        <v>11</v>
      </c>
      <c r="D488" s="9">
        <v>46202</v>
      </c>
      <c r="E488" s="17" t="s">
        <v>118</v>
      </c>
      <c r="F488" s="12">
        <v>0.33990740740740738</v>
      </c>
      <c r="G488" s="12">
        <v>0.67312499999999997</v>
      </c>
      <c r="H488" s="13">
        <v>7.9972222222222218</v>
      </c>
      <c r="I488" s="14">
        <v>8</v>
      </c>
      <c r="J488" s="15">
        <v>-2.777777777778212E-3</v>
      </c>
      <c r="K488" s="17" t="s">
        <v>111</v>
      </c>
      <c r="P488" s="1"/>
      <c r="U488" s="1"/>
    </row>
    <row r="489" spans="1:21" x14ac:dyDescent="0.3">
      <c r="A489" s="11">
        <v>10002463</v>
      </c>
      <c r="B489" s="17" t="s">
        <v>82</v>
      </c>
      <c r="C489" s="18" t="s">
        <v>13</v>
      </c>
      <c r="D489" s="9">
        <v>46194</v>
      </c>
      <c r="E489" s="17" t="s">
        <v>113</v>
      </c>
      <c r="F489" s="12"/>
      <c r="G489" s="12"/>
      <c r="H489" s="13">
        <v>0</v>
      </c>
      <c r="I489" s="14">
        <v>8.5</v>
      </c>
      <c r="J489" s="15">
        <v>-8.5</v>
      </c>
      <c r="K489" s="17" t="s">
        <v>68</v>
      </c>
      <c r="P489" s="1"/>
      <c r="U489" s="1"/>
    </row>
    <row r="490" spans="1:21" x14ac:dyDescent="0.3">
      <c r="A490" s="11">
        <v>10002463</v>
      </c>
      <c r="B490" s="17" t="s">
        <v>82</v>
      </c>
      <c r="C490" s="18" t="s">
        <v>13</v>
      </c>
      <c r="D490" s="9">
        <v>46195</v>
      </c>
      <c r="E490" s="17" t="s">
        <v>118</v>
      </c>
      <c r="F490" s="12"/>
      <c r="G490" s="12"/>
      <c r="H490" s="13">
        <v>0</v>
      </c>
      <c r="I490" s="14">
        <v>8.5</v>
      </c>
      <c r="J490" s="15">
        <v>-8.5</v>
      </c>
      <c r="K490" s="17" t="s">
        <v>68</v>
      </c>
      <c r="P490" s="1"/>
      <c r="U490" s="1"/>
    </row>
    <row r="491" spans="1:21" x14ac:dyDescent="0.3">
      <c r="A491" s="11">
        <v>10002463</v>
      </c>
      <c r="B491" s="17" t="s">
        <v>82</v>
      </c>
      <c r="C491" s="18" t="s">
        <v>13</v>
      </c>
      <c r="D491" s="9">
        <v>46196</v>
      </c>
      <c r="E491" s="17" t="s">
        <v>119</v>
      </c>
      <c r="F491" s="12"/>
      <c r="G491" s="12"/>
      <c r="H491" s="13">
        <v>0</v>
      </c>
      <c r="I491" s="14">
        <v>8.5</v>
      </c>
      <c r="J491" s="15">
        <v>-8.5</v>
      </c>
      <c r="K491" s="17" t="s">
        <v>68</v>
      </c>
      <c r="P491" s="1"/>
      <c r="U491" s="1"/>
    </row>
    <row r="492" spans="1:21" x14ac:dyDescent="0.3">
      <c r="A492" s="11">
        <v>10002463</v>
      </c>
      <c r="B492" s="17" t="s">
        <v>82</v>
      </c>
      <c r="C492" s="18" t="s">
        <v>13</v>
      </c>
      <c r="D492" s="9">
        <v>46197</v>
      </c>
      <c r="E492" s="17" t="s">
        <v>123</v>
      </c>
      <c r="F492" s="12"/>
      <c r="G492" s="12"/>
      <c r="H492" s="13">
        <v>0</v>
      </c>
      <c r="I492" s="14">
        <v>8.5</v>
      </c>
      <c r="J492" s="15">
        <v>-8.5</v>
      </c>
      <c r="K492" s="17" t="s">
        <v>68</v>
      </c>
      <c r="P492" s="1"/>
      <c r="U492" s="1"/>
    </row>
    <row r="493" spans="1:21" x14ac:dyDescent="0.3">
      <c r="A493" s="11">
        <v>10002463</v>
      </c>
      <c r="B493" s="17" t="s">
        <v>82</v>
      </c>
      <c r="C493" s="18" t="s">
        <v>13</v>
      </c>
      <c r="D493" s="9">
        <v>46198</v>
      </c>
      <c r="E493" s="17" t="s">
        <v>124</v>
      </c>
      <c r="F493" s="12"/>
      <c r="G493" s="12"/>
      <c r="H493" s="13">
        <v>0</v>
      </c>
      <c r="I493" s="14">
        <v>8.5</v>
      </c>
      <c r="J493" s="15">
        <v>-8.5</v>
      </c>
      <c r="K493" s="17" t="s">
        <v>68</v>
      </c>
      <c r="P493" s="1"/>
      <c r="U493" s="1"/>
    </row>
    <row r="494" spans="1:21" x14ac:dyDescent="0.3">
      <c r="A494" s="11">
        <v>10002463</v>
      </c>
      <c r="B494" s="17" t="s">
        <v>82</v>
      </c>
      <c r="C494" s="18" t="s">
        <v>13</v>
      </c>
      <c r="D494" s="9">
        <v>46199</v>
      </c>
      <c r="E494" s="17" t="s">
        <v>125</v>
      </c>
      <c r="F494" s="12"/>
      <c r="G494" s="12"/>
      <c r="H494" s="13">
        <v>0</v>
      </c>
      <c r="I494" s="14">
        <v>3</v>
      </c>
      <c r="J494" s="15">
        <v>-3</v>
      </c>
      <c r="K494" s="17" t="s">
        <v>68</v>
      </c>
      <c r="P494" s="1"/>
      <c r="U494" s="1"/>
    </row>
    <row r="495" spans="1:21" x14ac:dyDescent="0.3">
      <c r="A495" s="11">
        <v>10002463</v>
      </c>
      <c r="B495" s="17" t="s">
        <v>82</v>
      </c>
      <c r="C495" s="18" t="s">
        <v>13</v>
      </c>
      <c r="D495" s="9">
        <v>46200</v>
      </c>
      <c r="E495" s="17" t="s">
        <v>126</v>
      </c>
      <c r="F495" s="12"/>
      <c r="G495" s="12"/>
      <c r="H495" s="13">
        <v>0</v>
      </c>
      <c r="I495" s="14">
        <v>0</v>
      </c>
      <c r="J495" s="15">
        <v>0</v>
      </c>
      <c r="K495" s="17" t="s">
        <v>116</v>
      </c>
      <c r="P495" s="1"/>
      <c r="U495" s="1"/>
    </row>
    <row r="496" spans="1:21" x14ac:dyDescent="0.3">
      <c r="A496" s="11">
        <v>10002463</v>
      </c>
      <c r="B496" s="17" t="s">
        <v>82</v>
      </c>
      <c r="C496" s="18" t="s">
        <v>13</v>
      </c>
      <c r="D496" s="9">
        <v>46201</v>
      </c>
      <c r="E496" s="17" t="s">
        <v>113</v>
      </c>
      <c r="F496" s="12"/>
      <c r="G496" s="12"/>
      <c r="H496" s="13">
        <v>0</v>
      </c>
      <c r="I496" s="14">
        <v>8.5</v>
      </c>
      <c r="J496" s="15">
        <v>-8.5</v>
      </c>
      <c r="K496" s="17" t="s">
        <v>68</v>
      </c>
      <c r="P496" s="1"/>
      <c r="U496" s="1"/>
    </row>
    <row r="497" spans="1:21" x14ac:dyDescent="0.3">
      <c r="A497" s="11">
        <v>10002463</v>
      </c>
      <c r="B497" s="17" t="s">
        <v>82</v>
      </c>
      <c r="C497" s="18" t="s">
        <v>13</v>
      </c>
      <c r="D497" s="9">
        <v>46202</v>
      </c>
      <c r="E497" s="17" t="s">
        <v>118</v>
      </c>
      <c r="F497" s="12"/>
      <c r="G497" s="12"/>
      <c r="H497" s="13">
        <v>0</v>
      </c>
      <c r="I497" s="14">
        <v>8.5</v>
      </c>
      <c r="J497" s="15">
        <v>-8.5</v>
      </c>
      <c r="K497" s="17" t="s">
        <v>68</v>
      </c>
      <c r="P497" s="1"/>
      <c r="U497" s="1"/>
    </row>
    <row r="498" spans="1:21" x14ac:dyDescent="0.3">
      <c r="A498" s="11">
        <v>10002472</v>
      </c>
      <c r="B498" s="17" t="s">
        <v>83</v>
      </c>
      <c r="C498" s="18" t="s">
        <v>13</v>
      </c>
      <c r="D498" s="9">
        <v>46194</v>
      </c>
      <c r="E498" s="17" t="s">
        <v>113</v>
      </c>
      <c r="F498" s="12"/>
      <c r="G498" s="12"/>
      <c r="H498" s="13">
        <v>0</v>
      </c>
      <c r="I498" s="14">
        <v>0</v>
      </c>
      <c r="J498" s="15">
        <v>0</v>
      </c>
      <c r="K498" s="17" t="s">
        <v>129</v>
      </c>
      <c r="P498" s="1"/>
      <c r="U498" s="1"/>
    </row>
    <row r="499" spans="1:21" x14ac:dyDescent="0.3">
      <c r="A499" s="11">
        <v>10002472</v>
      </c>
      <c r="B499" s="17" t="s">
        <v>83</v>
      </c>
      <c r="C499" s="18" t="s">
        <v>13</v>
      </c>
      <c r="D499" s="9">
        <v>46195</v>
      </c>
      <c r="E499" s="17" t="s">
        <v>118</v>
      </c>
      <c r="F499" s="12"/>
      <c r="G499" s="12"/>
      <c r="H499" s="13">
        <v>0</v>
      </c>
      <c r="I499" s="14">
        <v>0</v>
      </c>
      <c r="J499" s="15">
        <v>0</v>
      </c>
      <c r="K499" s="17" t="s">
        <v>129</v>
      </c>
      <c r="P499" s="1"/>
      <c r="U499" s="1"/>
    </row>
    <row r="500" spans="1:21" x14ac:dyDescent="0.3">
      <c r="A500" s="11">
        <v>10002472</v>
      </c>
      <c r="B500" s="17" t="s">
        <v>83</v>
      </c>
      <c r="C500" s="18" t="s">
        <v>13</v>
      </c>
      <c r="D500" s="9">
        <v>46196</v>
      </c>
      <c r="E500" s="17" t="s">
        <v>119</v>
      </c>
      <c r="F500" s="12"/>
      <c r="G500" s="12"/>
      <c r="H500" s="13">
        <v>0</v>
      </c>
      <c r="I500" s="14">
        <v>0</v>
      </c>
      <c r="J500" s="15">
        <v>0</v>
      </c>
      <c r="K500" s="17" t="s">
        <v>129</v>
      </c>
      <c r="P500" s="1"/>
      <c r="U500" s="1"/>
    </row>
    <row r="501" spans="1:21" x14ac:dyDescent="0.3">
      <c r="A501" s="11">
        <v>10002472</v>
      </c>
      <c r="B501" s="17" t="s">
        <v>83</v>
      </c>
      <c r="C501" s="18" t="s">
        <v>13</v>
      </c>
      <c r="D501" s="9">
        <v>46197</v>
      </c>
      <c r="E501" s="17" t="s">
        <v>123</v>
      </c>
      <c r="F501" s="12"/>
      <c r="G501" s="12"/>
      <c r="H501" s="13">
        <v>0</v>
      </c>
      <c r="I501" s="14">
        <v>0</v>
      </c>
      <c r="J501" s="15">
        <v>0</v>
      </c>
      <c r="K501" s="17" t="s">
        <v>129</v>
      </c>
      <c r="P501" s="1"/>
      <c r="U501" s="1"/>
    </row>
    <row r="502" spans="1:21" x14ac:dyDescent="0.3">
      <c r="A502" s="11">
        <v>10002472</v>
      </c>
      <c r="B502" s="17" t="s">
        <v>83</v>
      </c>
      <c r="C502" s="18" t="s">
        <v>13</v>
      </c>
      <c r="D502" s="9">
        <v>46198</v>
      </c>
      <c r="E502" s="17" t="s">
        <v>124</v>
      </c>
      <c r="F502" s="12"/>
      <c r="G502" s="12"/>
      <c r="H502" s="13">
        <v>0</v>
      </c>
      <c r="I502" s="14">
        <v>0</v>
      </c>
      <c r="J502" s="15">
        <v>0</v>
      </c>
      <c r="K502" s="17" t="s">
        <v>129</v>
      </c>
      <c r="P502" s="1"/>
      <c r="U502" s="1"/>
    </row>
    <row r="503" spans="1:21" x14ac:dyDescent="0.3">
      <c r="A503" s="11">
        <v>10002472</v>
      </c>
      <c r="B503" s="17" t="s">
        <v>83</v>
      </c>
      <c r="C503" s="18" t="s">
        <v>13</v>
      </c>
      <c r="D503" s="9">
        <v>46199</v>
      </c>
      <c r="E503" s="17" t="s">
        <v>125</v>
      </c>
      <c r="F503" s="12"/>
      <c r="G503" s="12"/>
      <c r="H503" s="13">
        <v>0</v>
      </c>
      <c r="I503" s="14">
        <v>0</v>
      </c>
      <c r="J503" s="15">
        <v>0</v>
      </c>
      <c r="K503" s="17" t="s">
        <v>129</v>
      </c>
      <c r="P503" s="1"/>
      <c r="U503" s="1"/>
    </row>
    <row r="504" spans="1:21" x14ac:dyDescent="0.3">
      <c r="A504" s="11">
        <v>10002472</v>
      </c>
      <c r="B504" s="17" t="s">
        <v>83</v>
      </c>
      <c r="C504" s="18" t="s">
        <v>13</v>
      </c>
      <c r="D504" s="9">
        <v>46200</v>
      </c>
      <c r="E504" s="17" t="s">
        <v>126</v>
      </c>
      <c r="F504" s="12"/>
      <c r="G504" s="12"/>
      <c r="H504" s="13">
        <v>0</v>
      </c>
      <c r="I504" s="14">
        <v>0</v>
      </c>
      <c r="J504" s="15">
        <v>0</v>
      </c>
      <c r="K504" s="17" t="s">
        <v>129</v>
      </c>
      <c r="P504" s="1"/>
      <c r="U504" s="1"/>
    </row>
    <row r="505" spans="1:21" x14ac:dyDescent="0.3">
      <c r="A505" s="11">
        <v>10002472</v>
      </c>
      <c r="B505" s="17" t="s">
        <v>83</v>
      </c>
      <c r="C505" s="18" t="s">
        <v>13</v>
      </c>
      <c r="D505" s="9">
        <v>46201</v>
      </c>
      <c r="E505" s="17" t="s">
        <v>113</v>
      </c>
      <c r="F505" s="12"/>
      <c r="G505" s="12"/>
      <c r="H505" s="13">
        <v>0</v>
      </c>
      <c r="I505" s="14">
        <v>0</v>
      </c>
      <c r="J505" s="15">
        <v>0</v>
      </c>
      <c r="K505" s="17" t="s">
        <v>129</v>
      </c>
      <c r="P505" s="1"/>
      <c r="U505" s="1"/>
    </row>
    <row r="506" spans="1:21" x14ac:dyDescent="0.3">
      <c r="A506" s="11">
        <v>10002472</v>
      </c>
      <c r="B506" s="17" t="s">
        <v>83</v>
      </c>
      <c r="C506" s="18" t="s">
        <v>13</v>
      </c>
      <c r="D506" s="9">
        <v>46202</v>
      </c>
      <c r="E506" s="17" t="s">
        <v>118</v>
      </c>
      <c r="F506" s="12"/>
      <c r="G506" s="12"/>
      <c r="H506" s="13">
        <v>0</v>
      </c>
      <c r="I506" s="14">
        <v>0</v>
      </c>
      <c r="J506" s="15">
        <v>0</v>
      </c>
      <c r="K506" s="17" t="s">
        <v>129</v>
      </c>
      <c r="P506" s="1"/>
      <c r="U506" s="1"/>
    </row>
    <row r="507" spans="1:21" x14ac:dyDescent="0.3">
      <c r="A507" s="11">
        <v>10002489</v>
      </c>
      <c r="B507" s="17" t="s">
        <v>22</v>
      </c>
      <c r="C507" s="18" t="s">
        <v>13</v>
      </c>
      <c r="D507" s="9">
        <v>46194</v>
      </c>
      <c r="E507" s="17" t="s">
        <v>113</v>
      </c>
      <c r="F507" s="12">
        <v>0.75605324074074076</v>
      </c>
      <c r="G507" s="12">
        <v>0.75605324074074076</v>
      </c>
      <c r="H507" s="13">
        <v>0</v>
      </c>
      <c r="I507" s="14">
        <v>8.5</v>
      </c>
      <c r="J507" s="15">
        <v>-8.5</v>
      </c>
      <c r="K507" s="17" t="s">
        <v>67</v>
      </c>
      <c r="P507" s="1"/>
      <c r="U507" s="1"/>
    </row>
    <row r="508" spans="1:21" x14ac:dyDescent="0.3">
      <c r="A508" s="11">
        <v>10002489</v>
      </c>
      <c r="B508" s="17" t="s">
        <v>22</v>
      </c>
      <c r="C508" s="18" t="s">
        <v>13</v>
      </c>
      <c r="D508" s="9">
        <v>46195</v>
      </c>
      <c r="E508" s="17" t="s">
        <v>118</v>
      </c>
      <c r="F508" s="12">
        <v>0.3410185185185185</v>
      </c>
      <c r="G508" s="12">
        <v>0.74791666666666667</v>
      </c>
      <c r="H508" s="13">
        <v>9.7655555555555562</v>
      </c>
      <c r="I508" s="14">
        <v>8.5</v>
      </c>
      <c r="J508" s="15">
        <v>1.2655555555555562</v>
      </c>
      <c r="K508" s="17" t="s">
        <v>115</v>
      </c>
      <c r="P508" s="1"/>
      <c r="U508" s="1"/>
    </row>
    <row r="509" spans="1:21" x14ac:dyDescent="0.3">
      <c r="A509" s="11">
        <v>10002489</v>
      </c>
      <c r="B509" s="17" t="s">
        <v>22</v>
      </c>
      <c r="C509" s="18" t="s">
        <v>13</v>
      </c>
      <c r="D509" s="9">
        <v>46196</v>
      </c>
      <c r="E509" s="17" t="s">
        <v>119</v>
      </c>
      <c r="F509" s="12">
        <v>0.34052083333333333</v>
      </c>
      <c r="G509" s="12">
        <v>0.74883101851851852</v>
      </c>
      <c r="H509" s="13">
        <v>9.7994444444444451</v>
      </c>
      <c r="I509" s="14">
        <v>8.5</v>
      </c>
      <c r="J509" s="15">
        <v>1.2994444444444451</v>
      </c>
      <c r="K509" s="17" t="s">
        <v>115</v>
      </c>
      <c r="P509" s="1"/>
      <c r="U509" s="1"/>
    </row>
    <row r="510" spans="1:21" x14ac:dyDescent="0.3">
      <c r="A510" s="11">
        <v>10002489</v>
      </c>
      <c r="B510" s="17" t="s">
        <v>22</v>
      </c>
      <c r="C510" s="18" t="s">
        <v>13</v>
      </c>
      <c r="D510" s="9">
        <v>46197</v>
      </c>
      <c r="E510" s="17" t="s">
        <v>123</v>
      </c>
      <c r="F510" s="12">
        <v>0.34042824074074074</v>
      </c>
      <c r="G510" s="12">
        <v>0.72618055555555561</v>
      </c>
      <c r="H510" s="13">
        <v>9.2580555555555577</v>
      </c>
      <c r="I510" s="14">
        <v>8.5</v>
      </c>
      <c r="J510" s="15">
        <v>0.7580555555555577</v>
      </c>
      <c r="K510" s="17" t="s">
        <v>115</v>
      </c>
      <c r="P510" s="1"/>
      <c r="U510" s="1"/>
    </row>
    <row r="511" spans="1:21" x14ac:dyDescent="0.3">
      <c r="A511" s="11">
        <v>10002489</v>
      </c>
      <c r="B511" s="17" t="s">
        <v>22</v>
      </c>
      <c r="C511" s="18" t="s">
        <v>13</v>
      </c>
      <c r="D511" s="9">
        <v>46198</v>
      </c>
      <c r="E511" s="17" t="s">
        <v>124</v>
      </c>
      <c r="F511" s="12">
        <v>0.3429861111111111</v>
      </c>
      <c r="G511" s="12">
        <v>0.72846064814814815</v>
      </c>
      <c r="H511" s="13">
        <v>9.25138888888889</v>
      </c>
      <c r="I511" s="14">
        <v>8.5</v>
      </c>
      <c r="J511" s="15">
        <v>0.75138888888888999</v>
      </c>
      <c r="K511" s="17" t="s">
        <v>115</v>
      </c>
      <c r="P511" s="1"/>
      <c r="U511" s="1"/>
    </row>
    <row r="512" spans="1:21" x14ac:dyDescent="0.3">
      <c r="A512" s="11">
        <v>10002489</v>
      </c>
      <c r="B512" s="17" t="s">
        <v>22</v>
      </c>
      <c r="C512" s="18" t="s">
        <v>13</v>
      </c>
      <c r="D512" s="9">
        <v>46199</v>
      </c>
      <c r="E512" s="17" t="s">
        <v>125</v>
      </c>
      <c r="F512" s="12">
        <v>0.34065972222222224</v>
      </c>
      <c r="G512" s="12">
        <v>0.53962962962962968</v>
      </c>
      <c r="H512" s="13">
        <v>4.7752777777777791</v>
      </c>
      <c r="I512" s="14">
        <v>3</v>
      </c>
      <c r="J512" s="15">
        <v>1.7752777777777791</v>
      </c>
      <c r="K512" s="17" t="s">
        <v>115</v>
      </c>
      <c r="P512" s="1"/>
      <c r="U512" s="1"/>
    </row>
    <row r="513" spans="1:21" x14ac:dyDescent="0.3">
      <c r="A513" s="11">
        <v>10002489</v>
      </c>
      <c r="B513" s="17" t="s">
        <v>22</v>
      </c>
      <c r="C513" s="18" t="s">
        <v>13</v>
      </c>
      <c r="D513" s="9">
        <v>46200</v>
      </c>
      <c r="E513" s="17" t="s">
        <v>126</v>
      </c>
      <c r="F513" s="12"/>
      <c r="G513" s="12"/>
      <c r="H513" s="13">
        <v>0</v>
      </c>
      <c r="I513" s="14">
        <v>0</v>
      </c>
      <c r="J513" s="15">
        <v>0</v>
      </c>
      <c r="K513" s="17" t="s">
        <v>116</v>
      </c>
      <c r="P513" s="1"/>
      <c r="U513" s="1"/>
    </row>
    <row r="514" spans="1:21" x14ac:dyDescent="0.3">
      <c r="A514" s="11">
        <v>10002489</v>
      </c>
      <c r="B514" s="17" t="s">
        <v>22</v>
      </c>
      <c r="C514" s="18" t="s">
        <v>13</v>
      </c>
      <c r="D514" s="9">
        <v>46201</v>
      </c>
      <c r="E514" s="17" t="s">
        <v>113</v>
      </c>
      <c r="F514" s="12">
        <v>0.39071759259259259</v>
      </c>
      <c r="G514" s="12">
        <v>0.72803240740740738</v>
      </c>
      <c r="H514" s="13">
        <v>8.0955555555555545</v>
      </c>
      <c r="I514" s="14">
        <v>8.5</v>
      </c>
      <c r="J514" s="15">
        <v>-0.40444444444444549</v>
      </c>
      <c r="K514" s="17" t="s">
        <v>121</v>
      </c>
      <c r="P514" s="1"/>
      <c r="U514" s="1"/>
    </row>
    <row r="515" spans="1:21" x14ac:dyDescent="0.3">
      <c r="A515" s="11">
        <v>10002489</v>
      </c>
      <c r="B515" s="17" t="s">
        <v>22</v>
      </c>
      <c r="C515" s="18" t="s">
        <v>13</v>
      </c>
      <c r="D515" s="9">
        <v>46202</v>
      </c>
      <c r="E515" s="17" t="s">
        <v>118</v>
      </c>
      <c r="F515" s="12">
        <v>0.34167824074074077</v>
      </c>
      <c r="G515" s="12">
        <v>0.73527777777777781</v>
      </c>
      <c r="H515" s="13">
        <v>9.4463888888888885</v>
      </c>
      <c r="I515" s="14">
        <v>8.5</v>
      </c>
      <c r="J515" s="15">
        <v>0.9463888888888885</v>
      </c>
      <c r="K515" s="17" t="s">
        <v>115</v>
      </c>
      <c r="P515" s="1"/>
      <c r="U515" s="1"/>
    </row>
    <row r="516" spans="1:21" x14ac:dyDescent="0.3">
      <c r="A516" s="11">
        <v>10002590</v>
      </c>
      <c r="B516" s="17" t="s">
        <v>84</v>
      </c>
      <c r="C516" s="18" t="s">
        <v>24</v>
      </c>
      <c r="D516" s="9">
        <v>46194</v>
      </c>
      <c r="E516" s="17" t="s">
        <v>113</v>
      </c>
      <c r="F516" s="12"/>
      <c r="G516" s="12"/>
      <c r="H516" s="13">
        <v>0</v>
      </c>
      <c r="I516" s="14">
        <v>0</v>
      </c>
      <c r="J516" s="15">
        <v>0</v>
      </c>
      <c r="K516" s="17" t="s">
        <v>116</v>
      </c>
      <c r="P516" s="1"/>
      <c r="U516" s="1"/>
    </row>
    <row r="517" spans="1:21" x14ac:dyDescent="0.3">
      <c r="A517" s="11">
        <v>10002590</v>
      </c>
      <c r="B517" s="17" t="s">
        <v>84</v>
      </c>
      <c r="C517" s="18" t="s">
        <v>24</v>
      </c>
      <c r="D517" s="9">
        <v>46195</v>
      </c>
      <c r="E517" s="17" t="s">
        <v>118</v>
      </c>
      <c r="F517" s="12">
        <v>0.33055555555555555</v>
      </c>
      <c r="G517" s="12">
        <v>0.33055555555555555</v>
      </c>
      <c r="H517" s="13">
        <v>0</v>
      </c>
      <c r="I517" s="14">
        <v>0</v>
      </c>
      <c r="J517" s="15">
        <v>0</v>
      </c>
      <c r="K517" s="17" t="s">
        <v>128</v>
      </c>
      <c r="P517" s="1"/>
      <c r="U517" s="1"/>
    </row>
    <row r="518" spans="1:21" x14ac:dyDescent="0.3">
      <c r="A518" s="11">
        <v>10002590</v>
      </c>
      <c r="B518" s="17" t="s">
        <v>84</v>
      </c>
      <c r="C518" s="18" t="s">
        <v>24</v>
      </c>
      <c r="D518" s="9">
        <v>46196</v>
      </c>
      <c r="E518" s="17" t="s">
        <v>119</v>
      </c>
      <c r="F518" s="12"/>
      <c r="G518" s="12"/>
      <c r="H518" s="13">
        <v>0</v>
      </c>
      <c r="I518" s="14">
        <v>0</v>
      </c>
      <c r="J518" s="15">
        <v>0</v>
      </c>
      <c r="K518" s="17" t="s">
        <v>128</v>
      </c>
      <c r="P518" s="1"/>
      <c r="U518" s="1"/>
    </row>
    <row r="519" spans="1:21" x14ac:dyDescent="0.3">
      <c r="A519" s="11">
        <v>10002590</v>
      </c>
      <c r="B519" s="17" t="s">
        <v>84</v>
      </c>
      <c r="C519" s="18" t="s">
        <v>24</v>
      </c>
      <c r="D519" s="9">
        <v>46197</v>
      </c>
      <c r="E519" s="17" t="s">
        <v>123</v>
      </c>
      <c r="F519" s="12">
        <v>0.32568287037037036</v>
      </c>
      <c r="G519" s="12">
        <v>0.7199768518518519</v>
      </c>
      <c r="H519" s="13">
        <v>9.463055555555556</v>
      </c>
      <c r="I519" s="14">
        <v>9</v>
      </c>
      <c r="J519" s="15">
        <v>0.463055555555556</v>
      </c>
      <c r="K519" s="17" t="s">
        <v>115</v>
      </c>
      <c r="P519" s="1"/>
      <c r="U519" s="1"/>
    </row>
    <row r="520" spans="1:21" x14ac:dyDescent="0.3">
      <c r="A520" s="11">
        <v>10002590</v>
      </c>
      <c r="B520" s="17" t="s">
        <v>84</v>
      </c>
      <c r="C520" s="18" t="s">
        <v>24</v>
      </c>
      <c r="D520" s="9">
        <v>46198</v>
      </c>
      <c r="E520" s="17" t="s">
        <v>124</v>
      </c>
      <c r="F520" s="12">
        <v>0.32884259259259258</v>
      </c>
      <c r="G520" s="12">
        <v>0.73083333333333333</v>
      </c>
      <c r="H520" s="13">
        <v>9.6477777777777778</v>
      </c>
      <c r="I520" s="14">
        <v>9</v>
      </c>
      <c r="J520" s="15">
        <v>0.64777777777777779</v>
      </c>
      <c r="K520" s="17" t="s">
        <v>115</v>
      </c>
      <c r="P520" s="1"/>
      <c r="U520" s="1"/>
    </row>
    <row r="521" spans="1:21" x14ac:dyDescent="0.3">
      <c r="A521" s="11">
        <v>10002590</v>
      </c>
      <c r="B521" s="17" t="s">
        <v>84</v>
      </c>
      <c r="C521" s="18" t="s">
        <v>24</v>
      </c>
      <c r="D521" s="9">
        <v>46199</v>
      </c>
      <c r="E521" s="17" t="s">
        <v>125</v>
      </c>
      <c r="F521" s="12">
        <v>0.33760416666666665</v>
      </c>
      <c r="G521" s="12">
        <v>0.50895833333333329</v>
      </c>
      <c r="H521" s="13">
        <v>4.1124999999999989</v>
      </c>
      <c r="I521" s="14">
        <v>4</v>
      </c>
      <c r="J521" s="15">
        <v>0.11249999999999893</v>
      </c>
      <c r="K521" s="17" t="s">
        <v>115</v>
      </c>
      <c r="P521" s="1"/>
      <c r="U521" s="1"/>
    </row>
    <row r="522" spans="1:21" x14ac:dyDescent="0.3">
      <c r="A522" s="11">
        <v>10002590</v>
      </c>
      <c r="B522" s="17" t="s">
        <v>84</v>
      </c>
      <c r="C522" s="18" t="s">
        <v>24</v>
      </c>
      <c r="D522" s="9">
        <v>46200</v>
      </c>
      <c r="E522" s="17" t="s">
        <v>126</v>
      </c>
      <c r="F522" s="12"/>
      <c r="G522" s="12"/>
      <c r="H522" s="13">
        <v>0</v>
      </c>
      <c r="I522" s="14">
        <v>0</v>
      </c>
      <c r="J522" s="15">
        <v>0</v>
      </c>
      <c r="K522" s="17" t="s">
        <v>116</v>
      </c>
      <c r="P522" s="1"/>
      <c r="U522" s="1"/>
    </row>
    <row r="523" spans="1:21" x14ac:dyDescent="0.3">
      <c r="A523" s="11">
        <v>10002590</v>
      </c>
      <c r="B523" s="17" t="s">
        <v>84</v>
      </c>
      <c r="C523" s="18" t="s">
        <v>24</v>
      </c>
      <c r="D523" s="9">
        <v>46201</v>
      </c>
      <c r="E523" s="17" t="s">
        <v>113</v>
      </c>
      <c r="F523" s="12"/>
      <c r="G523" s="12"/>
      <c r="H523" s="13">
        <v>0</v>
      </c>
      <c r="I523" s="14">
        <v>0</v>
      </c>
      <c r="J523" s="15">
        <v>0</v>
      </c>
      <c r="K523" s="17" t="s">
        <v>116</v>
      </c>
      <c r="P523" s="1"/>
      <c r="U523" s="1"/>
    </row>
    <row r="524" spans="1:21" x14ac:dyDescent="0.3">
      <c r="A524" s="11">
        <v>10002590</v>
      </c>
      <c r="B524" s="17" t="s">
        <v>84</v>
      </c>
      <c r="C524" s="18" t="s">
        <v>24</v>
      </c>
      <c r="D524" s="9">
        <v>46202</v>
      </c>
      <c r="E524" s="17" t="s">
        <v>118</v>
      </c>
      <c r="F524" s="12">
        <v>0.32648148148148148</v>
      </c>
      <c r="G524" s="12">
        <v>0.78011574074074075</v>
      </c>
      <c r="H524" s="13">
        <v>10.887222222222222</v>
      </c>
      <c r="I524" s="14">
        <v>9</v>
      </c>
      <c r="J524" s="15">
        <v>1.8872222222222224</v>
      </c>
      <c r="K524" s="17" t="s">
        <v>115</v>
      </c>
      <c r="P524" s="1"/>
      <c r="U524" s="1"/>
    </row>
    <row r="525" spans="1:21" x14ac:dyDescent="0.3">
      <c r="A525" s="11">
        <v>10002620</v>
      </c>
      <c r="B525" s="17" t="s">
        <v>26</v>
      </c>
      <c r="C525" s="18" t="s">
        <v>13</v>
      </c>
      <c r="D525" s="9">
        <v>46194</v>
      </c>
      <c r="E525" s="17" t="s">
        <v>113</v>
      </c>
      <c r="F525" s="12"/>
      <c r="G525" s="12"/>
      <c r="H525" s="13">
        <v>0</v>
      </c>
      <c r="I525" s="14">
        <v>8.5</v>
      </c>
      <c r="J525" s="15">
        <v>-8.5</v>
      </c>
      <c r="K525" s="17" t="s">
        <v>68</v>
      </c>
      <c r="P525" s="1"/>
      <c r="U525" s="1"/>
    </row>
    <row r="526" spans="1:21" x14ac:dyDescent="0.3">
      <c r="A526" s="11">
        <v>10002620</v>
      </c>
      <c r="B526" s="17" t="s">
        <v>26</v>
      </c>
      <c r="C526" s="18" t="s">
        <v>13</v>
      </c>
      <c r="D526" s="9">
        <v>46195</v>
      </c>
      <c r="E526" s="17" t="s">
        <v>118</v>
      </c>
      <c r="F526" s="12"/>
      <c r="G526" s="12"/>
      <c r="H526" s="13">
        <v>0</v>
      </c>
      <c r="I526" s="14">
        <v>8.5</v>
      </c>
      <c r="J526" s="15">
        <v>-8.5</v>
      </c>
      <c r="K526" s="17" t="s">
        <v>68</v>
      </c>
      <c r="P526" s="1"/>
      <c r="U526" s="1"/>
    </row>
    <row r="527" spans="1:21" x14ac:dyDescent="0.3">
      <c r="A527" s="11">
        <v>10002620</v>
      </c>
      <c r="B527" s="17" t="s">
        <v>26</v>
      </c>
      <c r="C527" s="18" t="s">
        <v>13</v>
      </c>
      <c r="D527" s="9">
        <v>46196</v>
      </c>
      <c r="E527" s="17" t="s">
        <v>119</v>
      </c>
      <c r="F527" s="12"/>
      <c r="G527" s="12"/>
      <c r="H527" s="13">
        <v>0</v>
      </c>
      <c r="I527" s="14">
        <v>8.5</v>
      </c>
      <c r="J527" s="15">
        <v>-8.5</v>
      </c>
      <c r="K527" s="17" t="s">
        <v>68</v>
      </c>
      <c r="P527" s="1"/>
      <c r="U527" s="1"/>
    </row>
    <row r="528" spans="1:21" x14ac:dyDescent="0.3">
      <c r="A528" s="11">
        <v>10002620</v>
      </c>
      <c r="B528" s="17" t="s">
        <v>26</v>
      </c>
      <c r="C528" s="18" t="s">
        <v>13</v>
      </c>
      <c r="D528" s="9">
        <v>46197</v>
      </c>
      <c r="E528" s="17" t="s">
        <v>123</v>
      </c>
      <c r="F528" s="12"/>
      <c r="G528" s="12"/>
      <c r="H528" s="13">
        <v>0</v>
      </c>
      <c r="I528" s="14">
        <v>8.5</v>
      </c>
      <c r="J528" s="15">
        <v>-8.5</v>
      </c>
      <c r="K528" s="17" t="s">
        <v>68</v>
      </c>
      <c r="P528" s="1"/>
      <c r="U528" s="1"/>
    </row>
    <row r="529" spans="1:21" x14ac:dyDescent="0.3">
      <c r="A529" s="11">
        <v>10002620</v>
      </c>
      <c r="B529" s="17" t="s">
        <v>26</v>
      </c>
      <c r="C529" s="18" t="s">
        <v>13</v>
      </c>
      <c r="D529" s="9">
        <v>46198</v>
      </c>
      <c r="E529" s="17" t="s">
        <v>124</v>
      </c>
      <c r="F529" s="12"/>
      <c r="G529" s="12"/>
      <c r="H529" s="13">
        <v>0</v>
      </c>
      <c r="I529" s="14">
        <v>8.5</v>
      </c>
      <c r="J529" s="15">
        <v>-8.5</v>
      </c>
      <c r="K529" s="17" t="s">
        <v>68</v>
      </c>
      <c r="P529" s="1"/>
      <c r="U529" s="1"/>
    </row>
    <row r="530" spans="1:21" x14ac:dyDescent="0.3">
      <c r="A530" s="11">
        <v>10002620</v>
      </c>
      <c r="B530" s="17" t="s">
        <v>26</v>
      </c>
      <c r="C530" s="18" t="s">
        <v>13</v>
      </c>
      <c r="D530" s="9">
        <v>46199</v>
      </c>
      <c r="E530" s="17" t="s">
        <v>125</v>
      </c>
      <c r="F530" s="12"/>
      <c r="G530" s="12"/>
      <c r="H530" s="13">
        <v>0</v>
      </c>
      <c r="I530" s="14">
        <v>3</v>
      </c>
      <c r="J530" s="15">
        <v>-3</v>
      </c>
      <c r="K530" s="17" t="s">
        <v>68</v>
      </c>
      <c r="P530" s="1"/>
      <c r="U530" s="1"/>
    </row>
    <row r="531" spans="1:21" x14ac:dyDescent="0.3">
      <c r="A531" s="11">
        <v>10002620</v>
      </c>
      <c r="B531" s="17" t="s">
        <v>26</v>
      </c>
      <c r="C531" s="18" t="s">
        <v>13</v>
      </c>
      <c r="D531" s="9">
        <v>46200</v>
      </c>
      <c r="E531" s="17" t="s">
        <v>126</v>
      </c>
      <c r="F531" s="12"/>
      <c r="G531" s="12"/>
      <c r="H531" s="13">
        <v>0</v>
      </c>
      <c r="I531" s="14">
        <v>0</v>
      </c>
      <c r="J531" s="15">
        <v>0</v>
      </c>
      <c r="K531" s="17" t="s">
        <v>116</v>
      </c>
      <c r="P531" s="1"/>
      <c r="U531" s="1"/>
    </row>
    <row r="532" spans="1:21" x14ac:dyDescent="0.3">
      <c r="A532" s="11">
        <v>10002620</v>
      </c>
      <c r="B532" s="17" t="s">
        <v>26</v>
      </c>
      <c r="C532" s="18" t="s">
        <v>13</v>
      </c>
      <c r="D532" s="9">
        <v>46201</v>
      </c>
      <c r="E532" s="17" t="s">
        <v>113</v>
      </c>
      <c r="F532" s="12"/>
      <c r="G532" s="12"/>
      <c r="H532" s="13">
        <v>0</v>
      </c>
      <c r="I532" s="14">
        <v>8.5</v>
      </c>
      <c r="J532" s="15">
        <v>-8.5</v>
      </c>
      <c r="K532" s="17" t="s">
        <v>68</v>
      </c>
      <c r="P532" s="1"/>
      <c r="U532" s="1"/>
    </row>
    <row r="533" spans="1:21" x14ac:dyDescent="0.3">
      <c r="A533" s="11">
        <v>10002620</v>
      </c>
      <c r="B533" s="17" t="s">
        <v>26</v>
      </c>
      <c r="C533" s="18" t="s">
        <v>13</v>
      </c>
      <c r="D533" s="9">
        <v>46202</v>
      </c>
      <c r="E533" s="17" t="s">
        <v>118</v>
      </c>
      <c r="F533" s="12"/>
      <c r="G533" s="12"/>
      <c r="H533" s="13">
        <v>0</v>
      </c>
      <c r="I533" s="14">
        <v>8.5</v>
      </c>
      <c r="J533" s="15">
        <v>-8.5</v>
      </c>
      <c r="K533" s="17" t="s">
        <v>68</v>
      </c>
      <c r="P533" s="1"/>
      <c r="U533" s="1"/>
    </row>
    <row r="534" spans="1:21" x14ac:dyDescent="0.3">
      <c r="A534" s="11">
        <v>10002652</v>
      </c>
      <c r="B534" s="17" t="s">
        <v>107</v>
      </c>
      <c r="C534" s="18" t="s">
        <v>17</v>
      </c>
      <c r="D534" s="9">
        <v>46194</v>
      </c>
      <c r="E534" s="17" t="s">
        <v>113</v>
      </c>
      <c r="F534" s="12"/>
      <c r="G534" s="12"/>
      <c r="H534" s="13">
        <v>0</v>
      </c>
      <c r="I534" s="14">
        <v>0</v>
      </c>
      <c r="J534" s="15">
        <v>0</v>
      </c>
      <c r="K534" s="17" t="s">
        <v>116</v>
      </c>
      <c r="P534" s="1"/>
      <c r="U534" s="1"/>
    </row>
    <row r="535" spans="1:21" x14ac:dyDescent="0.3">
      <c r="A535" s="11">
        <v>10002652</v>
      </c>
      <c r="B535" s="17" t="s">
        <v>107</v>
      </c>
      <c r="C535" s="18" t="s">
        <v>17</v>
      </c>
      <c r="D535" s="9">
        <v>46195</v>
      </c>
      <c r="E535" s="17" t="s">
        <v>118</v>
      </c>
      <c r="F535" s="12">
        <v>0.33299768518518519</v>
      </c>
      <c r="G535" s="12">
        <v>0.72226851851851848</v>
      </c>
      <c r="H535" s="13">
        <v>9.3424999999999994</v>
      </c>
      <c r="I535" s="14">
        <v>9</v>
      </c>
      <c r="J535" s="15">
        <v>0.34249999999999936</v>
      </c>
      <c r="K535" s="17" t="s">
        <v>115</v>
      </c>
      <c r="P535" s="1"/>
      <c r="U535" s="1"/>
    </row>
    <row r="536" spans="1:21" x14ac:dyDescent="0.3">
      <c r="A536" s="11">
        <v>10002652</v>
      </c>
      <c r="B536" s="17" t="s">
        <v>107</v>
      </c>
      <c r="C536" s="18" t="s">
        <v>17</v>
      </c>
      <c r="D536" s="9">
        <v>46196</v>
      </c>
      <c r="E536" s="17" t="s">
        <v>119</v>
      </c>
      <c r="F536" s="12">
        <v>0.33651620370370372</v>
      </c>
      <c r="G536" s="12">
        <v>0.72140046296296301</v>
      </c>
      <c r="H536" s="13">
        <v>9.237222222222222</v>
      </c>
      <c r="I536" s="14">
        <v>9</v>
      </c>
      <c r="J536" s="15">
        <v>0.237222222222222</v>
      </c>
      <c r="K536" s="17" t="s">
        <v>115</v>
      </c>
      <c r="P536" s="1"/>
      <c r="U536" s="1"/>
    </row>
    <row r="537" spans="1:21" x14ac:dyDescent="0.3">
      <c r="A537" s="11">
        <v>10002652</v>
      </c>
      <c r="B537" s="17" t="s">
        <v>107</v>
      </c>
      <c r="C537" s="18" t="s">
        <v>17</v>
      </c>
      <c r="D537" s="9">
        <v>46197</v>
      </c>
      <c r="E537" s="17" t="s">
        <v>123</v>
      </c>
      <c r="F537" s="12">
        <v>0.34065972222222224</v>
      </c>
      <c r="G537" s="12">
        <v>0.72342592592592592</v>
      </c>
      <c r="H537" s="13">
        <v>9.1863888888888887</v>
      </c>
      <c r="I537" s="14">
        <v>9</v>
      </c>
      <c r="J537" s="15">
        <v>0.18638888888888872</v>
      </c>
      <c r="K537" s="17" t="s">
        <v>115</v>
      </c>
      <c r="P537" s="1"/>
      <c r="U537" s="1"/>
    </row>
    <row r="538" spans="1:21" x14ac:dyDescent="0.3">
      <c r="A538" s="11">
        <v>10002652</v>
      </c>
      <c r="B538" s="17" t="s">
        <v>107</v>
      </c>
      <c r="C538" s="18" t="s">
        <v>17</v>
      </c>
      <c r="D538" s="9">
        <v>46198</v>
      </c>
      <c r="E538" s="17" t="s">
        <v>124</v>
      </c>
      <c r="F538" s="12">
        <v>0.34415509259259258</v>
      </c>
      <c r="G538" s="12">
        <v>0.7245949074074074</v>
      </c>
      <c r="H538" s="13">
        <v>9.1305555555555564</v>
      </c>
      <c r="I538" s="14">
        <v>9</v>
      </c>
      <c r="J538" s="15">
        <v>0.13055555555555642</v>
      </c>
      <c r="K538" s="17" t="s">
        <v>115</v>
      </c>
      <c r="P538" s="1"/>
      <c r="U538" s="1"/>
    </row>
    <row r="539" spans="1:21" x14ac:dyDescent="0.3">
      <c r="A539" s="11">
        <v>10002652</v>
      </c>
      <c r="B539" s="17" t="s">
        <v>107</v>
      </c>
      <c r="C539" s="18" t="s">
        <v>17</v>
      </c>
      <c r="D539" s="9">
        <v>46199</v>
      </c>
      <c r="E539" s="17" t="s">
        <v>125</v>
      </c>
      <c r="F539" s="12">
        <v>0.33737268518518521</v>
      </c>
      <c r="G539" s="12">
        <v>0.54263888888888889</v>
      </c>
      <c r="H539" s="13">
        <v>4.9263888888888889</v>
      </c>
      <c r="I539" s="14">
        <v>4</v>
      </c>
      <c r="J539" s="15">
        <v>0.92638888888888893</v>
      </c>
      <c r="K539" s="17" t="s">
        <v>115</v>
      </c>
      <c r="P539" s="1"/>
      <c r="U539" s="1"/>
    </row>
    <row r="540" spans="1:21" x14ac:dyDescent="0.3">
      <c r="A540" s="11">
        <v>10002652</v>
      </c>
      <c r="B540" s="17" t="s">
        <v>107</v>
      </c>
      <c r="C540" s="18" t="s">
        <v>17</v>
      </c>
      <c r="D540" s="9">
        <v>46200</v>
      </c>
      <c r="E540" s="17" t="s">
        <v>126</v>
      </c>
      <c r="F540" s="12"/>
      <c r="G540" s="12"/>
      <c r="H540" s="13">
        <v>0</v>
      </c>
      <c r="I540" s="14">
        <v>0</v>
      </c>
      <c r="J540" s="15">
        <v>0</v>
      </c>
      <c r="K540" s="17" t="s">
        <v>116</v>
      </c>
      <c r="P540" s="1"/>
      <c r="U540" s="1"/>
    </row>
    <row r="541" spans="1:21" x14ac:dyDescent="0.3">
      <c r="A541" s="11">
        <v>10002652</v>
      </c>
      <c r="B541" s="17" t="s">
        <v>107</v>
      </c>
      <c r="C541" s="18" t="s">
        <v>17</v>
      </c>
      <c r="D541" s="9">
        <v>46201</v>
      </c>
      <c r="E541" s="17" t="s">
        <v>113</v>
      </c>
      <c r="F541" s="12"/>
      <c r="G541" s="12"/>
      <c r="H541" s="13">
        <v>0</v>
      </c>
      <c r="I541" s="14">
        <v>0</v>
      </c>
      <c r="J541" s="15">
        <v>0</v>
      </c>
      <c r="K541" s="17" t="s">
        <v>116</v>
      </c>
      <c r="P541" s="1"/>
      <c r="U541" s="1"/>
    </row>
    <row r="542" spans="1:21" x14ac:dyDescent="0.3">
      <c r="A542" s="11">
        <v>10002652</v>
      </c>
      <c r="B542" s="17" t="s">
        <v>107</v>
      </c>
      <c r="C542" s="18" t="s">
        <v>17</v>
      </c>
      <c r="D542" s="9">
        <v>46202</v>
      </c>
      <c r="E542" s="17" t="s">
        <v>118</v>
      </c>
      <c r="F542" s="12"/>
      <c r="G542" s="12"/>
      <c r="H542" s="13">
        <v>0</v>
      </c>
      <c r="I542" s="14">
        <v>9</v>
      </c>
      <c r="J542" s="15">
        <v>-9</v>
      </c>
      <c r="K542" s="17" t="s">
        <v>68</v>
      </c>
      <c r="P542" s="1"/>
      <c r="U542" s="1"/>
    </row>
    <row r="543" spans="1:21" x14ac:dyDescent="0.3">
      <c r="A543" s="11">
        <v>10002653</v>
      </c>
      <c r="B543" s="17" t="s">
        <v>85</v>
      </c>
      <c r="C543" s="18" t="s">
        <v>13</v>
      </c>
      <c r="D543" s="9">
        <v>46194</v>
      </c>
      <c r="E543" s="17" t="s">
        <v>113</v>
      </c>
      <c r="F543" s="12">
        <v>0.34893518518518518</v>
      </c>
      <c r="G543" s="12">
        <v>0.73018518518518516</v>
      </c>
      <c r="H543" s="13">
        <v>9.1499999999999986</v>
      </c>
      <c r="I543" s="14">
        <v>8.5</v>
      </c>
      <c r="J543" s="15">
        <v>0.64999999999999858</v>
      </c>
      <c r="K543" s="17" t="s">
        <v>115</v>
      </c>
      <c r="P543" s="1"/>
      <c r="U543" s="1"/>
    </row>
    <row r="544" spans="1:21" x14ac:dyDescent="0.3">
      <c r="A544" s="11">
        <v>10002653</v>
      </c>
      <c r="B544" s="17" t="s">
        <v>85</v>
      </c>
      <c r="C544" s="18" t="s">
        <v>13</v>
      </c>
      <c r="D544" s="9">
        <v>46195</v>
      </c>
      <c r="E544" s="17" t="s">
        <v>118</v>
      </c>
      <c r="F544" s="12">
        <v>0.32890046296296294</v>
      </c>
      <c r="G544" s="12">
        <v>0.75412037037037039</v>
      </c>
      <c r="H544" s="13">
        <v>10.205277777777779</v>
      </c>
      <c r="I544" s="14">
        <v>8.5</v>
      </c>
      <c r="J544" s="15">
        <v>1.7052777777777788</v>
      </c>
      <c r="K544" s="17" t="s">
        <v>115</v>
      </c>
      <c r="P544" s="1"/>
      <c r="U544" s="1"/>
    </row>
    <row r="545" spans="1:21" x14ac:dyDescent="0.3">
      <c r="A545" s="11">
        <v>10002653</v>
      </c>
      <c r="B545" s="17" t="s">
        <v>85</v>
      </c>
      <c r="C545" s="18" t="s">
        <v>13</v>
      </c>
      <c r="D545" s="9">
        <v>46196</v>
      </c>
      <c r="E545" s="17" t="s">
        <v>119</v>
      </c>
      <c r="F545" s="12">
        <v>0.32010416666666669</v>
      </c>
      <c r="G545" s="12">
        <v>0.82611111111111113</v>
      </c>
      <c r="H545" s="13">
        <v>12.144166666666665</v>
      </c>
      <c r="I545" s="14">
        <v>8.5</v>
      </c>
      <c r="J545" s="15">
        <v>3.6441666666666652</v>
      </c>
      <c r="K545" s="17" t="s">
        <v>115</v>
      </c>
      <c r="P545" s="1"/>
      <c r="U545" s="1"/>
    </row>
    <row r="546" spans="1:21" x14ac:dyDescent="0.3">
      <c r="A546" s="11">
        <v>10002653</v>
      </c>
      <c r="B546" s="17" t="s">
        <v>85</v>
      </c>
      <c r="C546" s="18" t="s">
        <v>13</v>
      </c>
      <c r="D546" s="9">
        <v>46197</v>
      </c>
      <c r="E546" s="17" t="s">
        <v>123</v>
      </c>
      <c r="F546" s="12">
        <v>0.3402662037037037</v>
      </c>
      <c r="G546" s="12">
        <v>0.75556712962962957</v>
      </c>
      <c r="H546" s="13">
        <v>9.9672222222222207</v>
      </c>
      <c r="I546" s="14">
        <v>8.5</v>
      </c>
      <c r="J546" s="15">
        <v>1.4672222222222207</v>
      </c>
      <c r="K546" s="17" t="s">
        <v>115</v>
      </c>
      <c r="P546" s="1"/>
      <c r="U546" s="1"/>
    </row>
    <row r="547" spans="1:21" x14ac:dyDescent="0.3">
      <c r="A547" s="11">
        <v>10002653</v>
      </c>
      <c r="B547" s="17" t="s">
        <v>85</v>
      </c>
      <c r="C547" s="18" t="s">
        <v>13</v>
      </c>
      <c r="D547" s="9">
        <v>46198</v>
      </c>
      <c r="E547" s="17" t="s">
        <v>124</v>
      </c>
      <c r="F547" s="12">
        <v>0.34043981481481483</v>
      </c>
      <c r="G547" s="12">
        <v>0.75656250000000003</v>
      </c>
      <c r="H547" s="13">
        <v>9.9869444444444451</v>
      </c>
      <c r="I547" s="14">
        <v>8.5</v>
      </c>
      <c r="J547" s="15">
        <v>1.4869444444444451</v>
      </c>
      <c r="K547" s="17" t="s">
        <v>115</v>
      </c>
      <c r="P547" s="1"/>
      <c r="U547" s="1"/>
    </row>
    <row r="548" spans="1:21" x14ac:dyDescent="0.3">
      <c r="A548" s="11">
        <v>10002653</v>
      </c>
      <c r="B548" s="17" t="s">
        <v>85</v>
      </c>
      <c r="C548" s="18" t="s">
        <v>13</v>
      </c>
      <c r="D548" s="9">
        <v>46199</v>
      </c>
      <c r="E548" s="17" t="s">
        <v>125</v>
      </c>
      <c r="F548" s="12">
        <v>0.32826388888888891</v>
      </c>
      <c r="G548" s="12">
        <v>0.51666666666666672</v>
      </c>
      <c r="H548" s="13">
        <v>4.5216666666666674</v>
      </c>
      <c r="I548" s="14">
        <v>3</v>
      </c>
      <c r="J548" s="15">
        <v>1.5216666666666674</v>
      </c>
      <c r="K548" s="17" t="s">
        <v>115</v>
      </c>
      <c r="P548" s="1"/>
      <c r="U548" s="1"/>
    </row>
    <row r="549" spans="1:21" x14ac:dyDescent="0.3">
      <c r="A549" s="11">
        <v>10002653</v>
      </c>
      <c r="B549" s="17" t="s">
        <v>85</v>
      </c>
      <c r="C549" s="18" t="s">
        <v>13</v>
      </c>
      <c r="D549" s="9">
        <v>46200</v>
      </c>
      <c r="E549" s="17" t="s">
        <v>126</v>
      </c>
      <c r="F549" s="12"/>
      <c r="G549" s="12"/>
      <c r="H549" s="13">
        <v>0</v>
      </c>
      <c r="I549" s="14">
        <v>0</v>
      </c>
      <c r="J549" s="15">
        <v>0</v>
      </c>
      <c r="K549" s="17" t="s">
        <v>116</v>
      </c>
      <c r="P549" s="1"/>
      <c r="U549" s="1"/>
    </row>
    <row r="550" spans="1:21" x14ac:dyDescent="0.3">
      <c r="A550" s="11">
        <v>10002653</v>
      </c>
      <c r="B550" s="17" t="s">
        <v>85</v>
      </c>
      <c r="C550" s="18" t="s">
        <v>13</v>
      </c>
      <c r="D550" s="9">
        <v>46201</v>
      </c>
      <c r="E550" s="17" t="s">
        <v>113</v>
      </c>
      <c r="F550" s="12">
        <v>0.33298611111111109</v>
      </c>
      <c r="G550" s="12">
        <v>0.74561342592592594</v>
      </c>
      <c r="H550" s="13">
        <v>9.9030555555555573</v>
      </c>
      <c r="I550" s="14">
        <v>8.5</v>
      </c>
      <c r="J550" s="15">
        <v>1.4030555555555573</v>
      </c>
      <c r="K550" s="17" t="s">
        <v>115</v>
      </c>
      <c r="P550" s="1"/>
      <c r="U550" s="1"/>
    </row>
    <row r="551" spans="1:21" x14ac:dyDescent="0.3">
      <c r="A551" s="11">
        <v>10002653</v>
      </c>
      <c r="B551" s="17" t="s">
        <v>85</v>
      </c>
      <c r="C551" s="18" t="s">
        <v>13</v>
      </c>
      <c r="D551" s="9">
        <v>46202</v>
      </c>
      <c r="E551" s="17" t="s">
        <v>118</v>
      </c>
      <c r="F551" s="12">
        <v>0.33217592592592593</v>
      </c>
      <c r="G551" s="12">
        <v>0.73930555555555555</v>
      </c>
      <c r="H551" s="13">
        <v>9.7711111111111109</v>
      </c>
      <c r="I551" s="14">
        <v>8.5</v>
      </c>
      <c r="J551" s="15">
        <v>1.2711111111111109</v>
      </c>
      <c r="K551" s="17" t="s">
        <v>115</v>
      </c>
      <c r="P551" s="1"/>
      <c r="U551" s="1"/>
    </row>
    <row r="552" spans="1:21" x14ac:dyDescent="0.3">
      <c r="A552" s="11">
        <v>10002654</v>
      </c>
      <c r="B552" s="17" t="s">
        <v>12</v>
      </c>
      <c r="C552" s="18" t="s">
        <v>13</v>
      </c>
      <c r="D552" s="9">
        <v>46194</v>
      </c>
      <c r="E552" s="17" t="s">
        <v>113</v>
      </c>
      <c r="F552" s="12"/>
      <c r="G552" s="12"/>
      <c r="H552" s="13">
        <v>0</v>
      </c>
      <c r="I552" s="14">
        <v>8.5</v>
      </c>
      <c r="J552" s="15">
        <v>-8.5</v>
      </c>
      <c r="K552" s="17" t="s">
        <v>68</v>
      </c>
      <c r="P552" s="1"/>
      <c r="U552" s="1"/>
    </row>
    <row r="553" spans="1:21" x14ac:dyDescent="0.3">
      <c r="A553" s="11">
        <v>10002654</v>
      </c>
      <c r="B553" s="17" t="s">
        <v>12</v>
      </c>
      <c r="C553" s="18" t="s">
        <v>13</v>
      </c>
      <c r="D553" s="9">
        <v>46195</v>
      </c>
      <c r="E553" s="17" t="s">
        <v>118</v>
      </c>
      <c r="F553" s="12"/>
      <c r="G553" s="12"/>
      <c r="H553" s="13">
        <v>0</v>
      </c>
      <c r="I553" s="14">
        <v>8.5</v>
      </c>
      <c r="J553" s="15">
        <v>-8.5</v>
      </c>
      <c r="K553" s="17" t="s">
        <v>68</v>
      </c>
      <c r="P553" s="1"/>
      <c r="U553" s="1"/>
    </row>
    <row r="554" spans="1:21" x14ac:dyDescent="0.3">
      <c r="A554" s="11">
        <v>10002654</v>
      </c>
      <c r="B554" s="17" t="s">
        <v>12</v>
      </c>
      <c r="C554" s="18" t="s">
        <v>13</v>
      </c>
      <c r="D554" s="9">
        <v>46196</v>
      </c>
      <c r="E554" s="17" t="s">
        <v>119</v>
      </c>
      <c r="F554" s="12"/>
      <c r="G554" s="12"/>
      <c r="H554" s="13">
        <v>0</v>
      </c>
      <c r="I554" s="14">
        <v>8.5</v>
      </c>
      <c r="J554" s="15">
        <v>-8.5</v>
      </c>
      <c r="K554" s="17" t="s">
        <v>68</v>
      </c>
      <c r="P554" s="1"/>
      <c r="U554" s="1"/>
    </row>
    <row r="555" spans="1:21" x14ac:dyDescent="0.3">
      <c r="A555" s="11">
        <v>10002654</v>
      </c>
      <c r="B555" s="17" t="s">
        <v>12</v>
      </c>
      <c r="C555" s="18" t="s">
        <v>13</v>
      </c>
      <c r="D555" s="9">
        <v>46197</v>
      </c>
      <c r="E555" s="17" t="s">
        <v>123</v>
      </c>
      <c r="F555" s="12"/>
      <c r="G555" s="12"/>
      <c r="H555" s="13">
        <v>0</v>
      </c>
      <c r="I555" s="14">
        <v>8.5</v>
      </c>
      <c r="J555" s="15">
        <v>-8.5</v>
      </c>
      <c r="K555" s="17" t="s">
        <v>68</v>
      </c>
      <c r="P555" s="1"/>
      <c r="U555" s="1"/>
    </row>
    <row r="556" spans="1:21" x14ac:dyDescent="0.3">
      <c r="A556" s="11">
        <v>10002654</v>
      </c>
      <c r="B556" s="17" t="s">
        <v>12</v>
      </c>
      <c r="C556" s="18" t="s">
        <v>13</v>
      </c>
      <c r="D556" s="9">
        <v>46198</v>
      </c>
      <c r="E556" s="17" t="s">
        <v>124</v>
      </c>
      <c r="F556" s="12"/>
      <c r="G556" s="12"/>
      <c r="H556" s="13">
        <v>0</v>
      </c>
      <c r="I556" s="14">
        <v>8.5</v>
      </c>
      <c r="J556" s="15">
        <v>-8.5</v>
      </c>
      <c r="K556" s="17" t="s">
        <v>68</v>
      </c>
      <c r="P556" s="1"/>
      <c r="U556" s="1"/>
    </row>
    <row r="557" spans="1:21" x14ac:dyDescent="0.3">
      <c r="A557" s="11">
        <v>10002654</v>
      </c>
      <c r="B557" s="17" t="s">
        <v>12</v>
      </c>
      <c r="C557" s="18" t="s">
        <v>13</v>
      </c>
      <c r="D557" s="9">
        <v>46199</v>
      </c>
      <c r="E557" s="17" t="s">
        <v>125</v>
      </c>
      <c r="F557" s="12"/>
      <c r="G557" s="12"/>
      <c r="H557" s="13">
        <v>0</v>
      </c>
      <c r="I557" s="14">
        <v>3</v>
      </c>
      <c r="J557" s="15">
        <v>-3</v>
      </c>
      <c r="K557" s="17" t="s">
        <v>68</v>
      </c>
      <c r="P557" s="1"/>
      <c r="U557" s="1"/>
    </row>
    <row r="558" spans="1:21" x14ac:dyDescent="0.3">
      <c r="A558" s="11">
        <v>10002654</v>
      </c>
      <c r="B558" s="17" t="s">
        <v>12</v>
      </c>
      <c r="C558" s="18" t="s">
        <v>13</v>
      </c>
      <c r="D558" s="9">
        <v>46200</v>
      </c>
      <c r="E558" s="17" t="s">
        <v>126</v>
      </c>
      <c r="F558" s="12"/>
      <c r="G558" s="12"/>
      <c r="H558" s="13">
        <v>0</v>
      </c>
      <c r="I558" s="14">
        <v>0</v>
      </c>
      <c r="J558" s="15">
        <v>0</v>
      </c>
      <c r="K558" s="17" t="s">
        <v>116</v>
      </c>
      <c r="P558" s="1"/>
      <c r="U558" s="1"/>
    </row>
    <row r="559" spans="1:21" x14ac:dyDescent="0.3">
      <c r="A559" s="11">
        <v>10002654</v>
      </c>
      <c r="B559" s="17" t="s">
        <v>12</v>
      </c>
      <c r="C559" s="18" t="s">
        <v>13</v>
      </c>
      <c r="D559" s="9">
        <v>46201</v>
      </c>
      <c r="E559" s="17" t="s">
        <v>113</v>
      </c>
      <c r="F559" s="12"/>
      <c r="G559" s="12"/>
      <c r="H559" s="13">
        <v>0</v>
      </c>
      <c r="I559" s="14">
        <v>8.5</v>
      </c>
      <c r="J559" s="15">
        <v>-8.5</v>
      </c>
      <c r="K559" s="17" t="s">
        <v>68</v>
      </c>
      <c r="P559" s="1"/>
      <c r="U559" s="1"/>
    </row>
    <row r="560" spans="1:21" x14ac:dyDescent="0.3">
      <c r="A560" s="11">
        <v>10002654</v>
      </c>
      <c r="B560" s="17" t="s">
        <v>12</v>
      </c>
      <c r="C560" s="18" t="s">
        <v>13</v>
      </c>
      <c r="D560" s="9">
        <v>46202</v>
      </c>
      <c r="E560" s="17" t="s">
        <v>118</v>
      </c>
      <c r="F560" s="12"/>
      <c r="G560" s="12"/>
      <c r="H560" s="13">
        <v>0</v>
      </c>
      <c r="I560" s="14">
        <v>8.5</v>
      </c>
      <c r="J560" s="15">
        <v>-8.5</v>
      </c>
      <c r="K560" s="17" t="s">
        <v>68</v>
      </c>
      <c r="P560" s="1"/>
      <c r="U560" s="1"/>
    </row>
    <row r="561" spans="1:21" x14ac:dyDescent="0.3">
      <c r="A561" s="11">
        <v>10002667</v>
      </c>
      <c r="B561" s="17" t="s">
        <v>48</v>
      </c>
      <c r="C561" s="18" t="s">
        <v>11</v>
      </c>
      <c r="D561" s="9">
        <v>46194</v>
      </c>
      <c r="E561" s="17" t="s">
        <v>113</v>
      </c>
      <c r="F561" s="12"/>
      <c r="G561" s="12"/>
      <c r="H561" s="13">
        <v>0</v>
      </c>
      <c r="I561" s="14">
        <v>0</v>
      </c>
      <c r="J561" s="15">
        <v>0</v>
      </c>
      <c r="K561" s="17" t="s">
        <v>116</v>
      </c>
      <c r="P561" s="1"/>
      <c r="U561" s="1"/>
    </row>
    <row r="562" spans="1:21" x14ac:dyDescent="0.3">
      <c r="A562" s="11">
        <v>10002667</v>
      </c>
      <c r="B562" s="17" t="s">
        <v>48</v>
      </c>
      <c r="C562" s="18" t="s">
        <v>11</v>
      </c>
      <c r="D562" s="9">
        <v>46195</v>
      </c>
      <c r="E562" s="17" t="s">
        <v>118</v>
      </c>
      <c r="F562" s="12">
        <v>0.34435185185185185</v>
      </c>
      <c r="G562" s="12">
        <v>0.76515046296296296</v>
      </c>
      <c r="H562" s="13">
        <v>10.099166666666667</v>
      </c>
      <c r="I562" s="14">
        <v>9</v>
      </c>
      <c r="J562" s="15">
        <v>1.0991666666666671</v>
      </c>
      <c r="K562" s="17" t="s">
        <v>115</v>
      </c>
      <c r="P562" s="1"/>
      <c r="U562" s="1"/>
    </row>
    <row r="563" spans="1:21" x14ac:dyDescent="0.3">
      <c r="A563" s="11">
        <v>10002667</v>
      </c>
      <c r="B563" s="17" t="s">
        <v>48</v>
      </c>
      <c r="C563" s="18" t="s">
        <v>11</v>
      </c>
      <c r="D563" s="9">
        <v>46196</v>
      </c>
      <c r="E563" s="17" t="s">
        <v>119</v>
      </c>
      <c r="F563" s="12">
        <v>0.34483796296296299</v>
      </c>
      <c r="G563" s="12">
        <v>0.80326388888888889</v>
      </c>
      <c r="H563" s="13">
        <v>11.002222222222223</v>
      </c>
      <c r="I563" s="14">
        <v>9</v>
      </c>
      <c r="J563" s="15">
        <v>2.0022222222222226</v>
      </c>
      <c r="K563" s="17" t="s">
        <v>115</v>
      </c>
      <c r="P563" s="1"/>
      <c r="U563" s="1"/>
    </row>
    <row r="564" spans="1:21" x14ac:dyDescent="0.3">
      <c r="A564" s="11">
        <v>10002667</v>
      </c>
      <c r="B564" s="17" t="s">
        <v>48</v>
      </c>
      <c r="C564" s="18" t="s">
        <v>11</v>
      </c>
      <c r="D564" s="9">
        <v>46197</v>
      </c>
      <c r="E564" s="17" t="s">
        <v>123</v>
      </c>
      <c r="F564" s="12">
        <v>0.3278935185185185</v>
      </c>
      <c r="G564" s="12">
        <v>0.88869212962962962</v>
      </c>
      <c r="H564" s="13">
        <v>13.459166666666668</v>
      </c>
      <c r="I564" s="14">
        <v>9</v>
      </c>
      <c r="J564" s="15">
        <v>4.4591666666666683</v>
      </c>
      <c r="K564" s="17" t="s">
        <v>115</v>
      </c>
      <c r="P564" s="1"/>
      <c r="U564" s="1"/>
    </row>
    <row r="565" spans="1:21" x14ac:dyDescent="0.3">
      <c r="A565" s="11">
        <v>10002667</v>
      </c>
      <c r="B565" s="17" t="s">
        <v>48</v>
      </c>
      <c r="C565" s="18" t="s">
        <v>11</v>
      </c>
      <c r="D565" s="9">
        <v>46198</v>
      </c>
      <c r="E565" s="17" t="s">
        <v>124</v>
      </c>
      <c r="F565" s="12">
        <v>0.34002314814814816</v>
      </c>
      <c r="G565" s="12">
        <v>0.84166666666666667</v>
      </c>
      <c r="H565" s="13">
        <v>12.039444444444445</v>
      </c>
      <c r="I565" s="14">
        <v>9</v>
      </c>
      <c r="J565" s="15">
        <v>3.0394444444444453</v>
      </c>
      <c r="K565" s="17" t="s">
        <v>115</v>
      </c>
      <c r="P565" s="1"/>
      <c r="U565" s="1"/>
    </row>
    <row r="566" spans="1:21" x14ac:dyDescent="0.3">
      <c r="A566" s="11">
        <v>10002667</v>
      </c>
      <c r="B566" s="17" t="s">
        <v>48</v>
      </c>
      <c r="C566" s="18" t="s">
        <v>11</v>
      </c>
      <c r="D566" s="9">
        <v>46199</v>
      </c>
      <c r="E566" s="17" t="s">
        <v>125</v>
      </c>
      <c r="F566" s="12">
        <v>0.34342592592592591</v>
      </c>
      <c r="G566" s="12">
        <v>0.53393518518518523</v>
      </c>
      <c r="H566" s="13">
        <v>4.5722222222222237</v>
      </c>
      <c r="I566" s="14">
        <v>4</v>
      </c>
      <c r="J566" s="15">
        <v>0.57222222222222374</v>
      </c>
      <c r="K566" s="17" t="s">
        <v>115</v>
      </c>
      <c r="P566" s="1"/>
      <c r="U566" s="1"/>
    </row>
    <row r="567" spans="1:21" x14ac:dyDescent="0.3">
      <c r="A567" s="11">
        <v>10002667</v>
      </c>
      <c r="B567" s="17" t="s">
        <v>48</v>
      </c>
      <c r="C567" s="18" t="s">
        <v>11</v>
      </c>
      <c r="D567" s="9">
        <v>46200</v>
      </c>
      <c r="E567" s="17" t="s">
        <v>126</v>
      </c>
      <c r="F567" s="12"/>
      <c r="G567" s="12"/>
      <c r="H567" s="13">
        <v>0</v>
      </c>
      <c r="I567" s="14">
        <v>0</v>
      </c>
      <c r="J567" s="15">
        <v>0</v>
      </c>
      <c r="K567" s="17" t="s">
        <v>116</v>
      </c>
      <c r="P567" s="1"/>
      <c r="U567" s="1"/>
    </row>
    <row r="568" spans="1:21" x14ac:dyDescent="0.3">
      <c r="A568" s="11">
        <v>10002667</v>
      </c>
      <c r="B568" s="17" t="s">
        <v>48</v>
      </c>
      <c r="C568" s="18" t="s">
        <v>11</v>
      </c>
      <c r="D568" s="9">
        <v>46201</v>
      </c>
      <c r="E568" s="17" t="s">
        <v>113</v>
      </c>
      <c r="F568" s="12"/>
      <c r="G568" s="12"/>
      <c r="H568" s="13">
        <v>0</v>
      </c>
      <c r="I568" s="14">
        <v>0</v>
      </c>
      <c r="J568" s="15">
        <v>0</v>
      </c>
      <c r="K568" s="17" t="s">
        <v>116</v>
      </c>
      <c r="P568" s="1"/>
      <c r="U568" s="1"/>
    </row>
    <row r="569" spans="1:21" x14ac:dyDescent="0.3">
      <c r="A569" s="11">
        <v>10002667</v>
      </c>
      <c r="B569" s="17" t="s">
        <v>48</v>
      </c>
      <c r="C569" s="18" t="s">
        <v>11</v>
      </c>
      <c r="D569" s="9">
        <v>46202</v>
      </c>
      <c r="E569" s="17" t="s">
        <v>118</v>
      </c>
      <c r="F569" s="12">
        <v>0.34260416666666665</v>
      </c>
      <c r="G569" s="12">
        <v>0.78619212962962959</v>
      </c>
      <c r="H569" s="13">
        <v>10.646111111111111</v>
      </c>
      <c r="I569" s="14">
        <v>9</v>
      </c>
      <c r="J569" s="15">
        <v>1.6461111111111109</v>
      </c>
      <c r="K569" s="17" t="s">
        <v>115</v>
      </c>
      <c r="P569" s="1"/>
      <c r="U569" s="1"/>
    </row>
    <row r="570" spans="1:21" x14ac:dyDescent="0.3">
      <c r="A570" s="11">
        <v>10002709</v>
      </c>
      <c r="B570" s="17" t="s">
        <v>44</v>
      </c>
      <c r="C570" s="18" t="s">
        <v>11</v>
      </c>
      <c r="D570" s="9">
        <v>46194</v>
      </c>
      <c r="E570" s="17" t="s">
        <v>113</v>
      </c>
      <c r="F570" s="12"/>
      <c r="G570" s="12"/>
      <c r="H570" s="13">
        <v>0</v>
      </c>
      <c r="I570" s="14">
        <v>0</v>
      </c>
      <c r="J570" s="15">
        <v>0</v>
      </c>
      <c r="K570" s="17" t="s">
        <v>116</v>
      </c>
      <c r="P570" s="1"/>
      <c r="U570" s="1"/>
    </row>
    <row r="571" spans="1:21" x14ac:dyDescent="0.3">
      <c r="A571" s="11">
        <v>10002709</v>
      </c>
      <c r="B571" s="17" t="s">
        <v>44</v>
      </c>
      <c r="C571" s="18" t="s">
        <v>11</v>
      </c>
      <c r="D571" s="9">
        <v>46195</v>
      </c>
      <c r="E571" s="17" t="s">
        <v>118</v>
      </c>
      <c r="F571" s="12">
        <v>0.33124999999999999</v>
      </c>
      <c r="G571" s="12">
        <v>0.77346064814814819</v>
      </c>
      <c r="H571" s="13">
        <v>10.613055555555556</v>
      </c>
      <c r="I571" s="14">
        <v>9</v>
      </c>
      <c r="J571" s="15">
        <v>1.6130555555555564</v>
      </c>
      <c r="K571" s="17" t="s">
        <v>115</v>
      </c>
      <c r="P571" s="1"/>
      <c r="U571" s="1"/>
    </row>
    <row r="572" spans="1:21" x14ac:dyDescent="0.3">
      <c r="A572" s="11">
        <v>10002709</v>
      </c>
      <c r="B572" s="17" t="s">
        <v>44</v>
      </c>
      <c r="C572" s="18" t="s">
        <v>11</v>
      </c>
      <c r="D572" s="9">
        <v>46196</v>
      </c>
      <c r="E572" s="17" t="s">
        <v>119</v>
      </c>
      <c r="F572" s="12">
        <v>0.34969907407407408</v>
      </c>
      <c r="G572" s="12">
        <v>0.7280092592592593</v>
      </c>
      <c r="H572" s="13">
        <v>9.0794444444444444</v>
      </c>
      <c r="I572" s="14">
        <v>9</v>
      </c>
      <c r="J572" s="15">
        <v>7.9444444444444429E-2</v>
      </c>
      <c r="K572" s="17" t="s">
        <v>115</v>
      </c>
      <c r="P572" s="1"/>
      <c r="U572" s="1"/>
    </row>
    <row r="573" spans="1:21" x14ac:dyDescent="0.3">
      <c r="A573" s="11">
        <v>10002709</v>
      </c>
      <c r="B573" s="17" t="s">
        <v>44</v>
      </c>
      <c r="C573" s="18" t="s">
        <v>11</v>
      </c>
      <c r="D573" s="9">
        <v>46197</v>
      </c>
      <c r="E573" s="17" t="s">
        <v>123</v>
      </c>
      <c r="F573" s="12">
        <v>0.4180902777777778</v>
      </c>
      <c r="G573" s="12">
        <v>0.75869212962962962</v>
      </c>
      <c r="H573" s="13">
        <v>8.1744444444444433</v>
      </c>
      <c r="I573" s="14">
        <v>9</v>
      </c>
      <c r="J573" s="15">
        <v>-0.82555555555555671</v>
      </c>
      <c r="K573" s="17" t="s">
        <v>121</v>
      </c>
      <c r="P573" s="1"/>
      <c r="U573" s="1"/>
    </row>
    <row r="574" spans="1:21" x14ac:dyDescent="0.3">
      <c r="A574" s="11">
        <v>10002709</v>
      </c>
      <c r="B574" s="17" t="s">
        <v>44</v>
      </c>
      <c r="C574" s="18" t="s">
        <v>11</v>
      </c>
      <c r="D574" s="9">
        <v>46198</v>
      </c>
      <c r="E574" s="17" t="s">
        <v>124</v>
      </c>
      <c r="F574" s="12">
        <v>0.34171296296296294</v>
      </c>
      <c r="G574" s="12">
        <v>0.7209606481481482</v>
      </c>
      <c r="H574" s="13">
        <v>9.1019444444444453</v>
      </c>
      <c r="I574" s="14">
        <v>9</v>
      </c>
      <c r="J574" s="15">
        <v>0.10194444444444528</v>
      </c>
      <c r="K574" s="17" t="s">
        <v>115</v>
      </c>
      <c r="P574" s="1"/>
      <c r="U574" s="1"/>
    </row>
    <row r="575" spans="1:21" x14ac:dyDescent="0.3">
      <c r="A575" s="11">
        <v>10002709</v>
      </c>
      <c r="B575" s="17" t="s">
        <v>44</v>
      </c>
      <c r="C575" s="18" t="s">
        <v>11</v>
      </c>
      <c r="D575" s="9">
        <v>46199</v>
      </c>
      <c r="E575" s="17" t="s">
        <v>125</v>
      </c>
      <c r="F575" s="12">
        <v>0.33144675925925926</v>
      </c>
      <c r="G575" s="12">
        <v>0.51009259259259254</v>
      </c>
      <c r="H575" s="13">
        <v>4.2874999999999988</v>
      </c>
      <c r="I575" s="14">
        <v>4</v>
      </c>
      <c r="J575" s="15">
        <v>0.28749999999999876</v>
      </c>
      <c r="K575" s="17" t="s">
        <v>115</v>
      </c>
      <c r="P575" s="1"/>
      <c r="U575" s="1"/>
    </row>
    <row r="576" spans="1:21" x14ac:dyDescent="0.3">
      <c r="A576" s="11">
        <v>10002709</v>
      </c>
      <c r="B576" s="17" t="s">
        <v>44</v>
      </c>
      <c r="C576" s="18" t="s">
        <v>11</v>
      </c>
      <c r="D576" s="9">
        <v>46200</v>
      </c>
      <c r="E576" s="17" t="s">
        <v>126</v>
      </c>
      <c r="F576" s="12"/>
      <c r="G576" s="12"/>
      <c r="H576" s="13">
        <v>0</v>
      </c>
      <c r="I576" s="14">
        <v>0</v>
      </c>
      <c r="J576" s="15">
        <v>0</v>
      </c>
      <c r="K576" s="17" t="s">
        <v>116</v>
      </c>
      <c r="P576" s="1"/>
      <c r="U576" s="1"/>
    </row>
    <row r="577" spans="1:21" x14ac:dyDescent="0.3">
      <c r="A577" s="11">
        <v>10002709</v>
      </c>
      <c r="B577" s="17" t="s">
        <v>44</v>
      </c>
      <c r="C577" s="18" t="s">
        <v>11</v>
      </c>
      <c r="D577" s="9">
        <v>46201</v>
      </c>
      <c r="E577" s="17" t="s">
        <v>113</v>
      </c>
      <c r="F577" s="12"/>
      <c r="G577" s="12"/>
      <c r="H577" s="13">
        <v>0</v>
      </c>
      <c r="I577" s="14">
        <v>0</v>
      </c>
      <c r="J577" s="15">
        <v>0</v>
      </c>
      <c r="K577" s="17" t="s">
        <v>116</v>
      </c>
      <c r="P577" s="1"/>
      <c r="U577" s="1"/>
    </row>
    <row r="578" spans="1:21" x14ac:dyDescent="0.3">
      <c r="A578" s="11">
        <v>10002709</v>
      </c>
      <c r="B578" s="17" t="s">
        <v>44</v>
      </c>
      <c r="C578" s="18" t="s">
        <v>11</v>
      </c>
      <c r="D578" s="9">
        <v>46202</v>
      </c>
      <c r="E578" s="17" t="s">
        <v>118</v>
      </c>
      <c r="F578" s="12">
        <v>0.34422453703703704</v>
      </c>
      <c r="G578" s="12">
        <v>0.75862268518518516</v>
      </c>
      <c r="H578" s="13">
        <v>9.9455555555555542</v>
      </c>
      <c r="I578" s="14">
        <v>9</v>
      </c>
      <c r="J578" s="15">
        <v>0.94555555555555415</v>
      </c>
      <c r="K578" s="17" t="s">
        <v>115</v>
      </c>
      <c r="P578" s="1"/>
      <c r="U578" s="1"/>
    </row>
    <row r="579" spans="1:21" x14ac:dyDescent="0.3">
      <c r="A579" s="11">
        <v>10002733</v>
      </c>
      <c r="B579" s="17" t="s">
        <v>40</v>
      </c>
      <c r="C579" s="18" t="s">
        <v>13</v>
      </c>
      <c r="D579" s="9">
        <v>46194</v>
      </c>
      <c r="E579" s="17" t="s">
        <v>113</v>
      </c>
      <c r="F579" s="12">
        <v>0.36886574074074074</v>
      </c>
      <c r="G579" s="12">
        <v>0.36886574074074074</v>
      </c>
      <c r="H579" s="13">
        <v>0</v>
      </c>
      <c r="I579" s="14">
        <v>8.5</v>
      </c>
      <c r="J579" s="15">
        <v>-8.5</v>
      </c>
      <c r="K579" s="17" t="s">
        <v>67</v>
      </c>
      <c r="P579" s="1"/>
      <c r="U579" s="1"/>
    </row>
    <row r="580" spans="1:21" x14ac:dyDescent="0.3">
      <c r="A580" s="11">
        <v>10002733</v>
      </c>
      <c r="B580" s="17" t="s">
        <v>40</v>
      </c>
      <c r="C580" s="18" t="s">
        <v>13</v>
      </c>
      <c r="D580" s="9">
        <v>46195</v>
      </c>
      <c r="E580" s="17" t="s">
        <v>118</v>
      </c>
      <c r="F580" s="12">
        <v>0.3218287037037037</v>
      </c>
      <c r="G580" s="12">
        <v>0.3218287037037037</v>
      </c>
      <c r="H580" s="13">
        <v>0</v>
      </c>
      <c r="I580" s="14">
        <v>8.5</v>
      </c>
      <c r="J580" s="15">
        <v>-8.5</v>
      </c>
      <c r="K580" s="17" t="s">
        <v>67</v>
      </c>
      <c r="P580" s="1"/>
      <c r="U580" s="1"/>
    </row>
    <row r="581" spans="1:21" x14ac:dyDescent="0.3">
      <c r="A581" s="11">
        <v>10002733</v>
      </c>
      <c r="B581" s="17" t="s">
        <v>40</v>
      </c>
      <c r="C581" s="18" t="s">
        <v>13</v>
      </c>
      <c r="D581" s="9">
        <v>46196</v>
      </c>
      <c r="E581" s="17" t="s">
        <v>119</v>
      </c>
      <c r="F581" s="12"/>
      <c r="G581" s="12"/>
      <c r="H581" s="13">
        <v>0</v>
      </c>
      <c r="I581" s="14">
        <v>8.5</v>
      </c>
      <c r="J581" s="15">
        <v>-8.5</v>
      </c>
      <c r="K581" s="17" t="s">
        <v>68</v>
      </c>
      <c r="P581" s="1"/>
      <c r="U581" s="1"/>
    </row>
    <row r="582" spans="1:21" x14ac:dyDescent="0.3">
      <c r="A582" s="11">
        <v>10002733</v>
      </c>
      <c r="B582" s="17" t="s">
        <v>40</v>
      </c>
      <c r="C582" s="18" t="s">
        <v>13</v>
      </c>
      <c r="D582" s="9">
        <v>46197</v>
      </c>
      <c r="E582" s="17" t="s">
        <v>123</v>
      </c>
      <c r="F582" s="12">
        <v>0.34575231481481483</v>
      </c>
      <c r="G582" s="12">
        <v>0.34575231481481483</v>
      </c>
      <c r="H582" s="13">
        <v>0</v>
      </c>
      <c r="I582" s="14">
        <v>8.5</v>
      </c>
      <c r="J582" s="15">
        <v>-8.5</v>
      </c>
      <c r="K582" s="17" t="s">
        <v>67</v>
      </c>
      <c r="P582" s="1"/>
      <c r="U582" s="1"/>
    </row>
    <row r="583" spans="1:21" x14ac:dyDescent="0.3">
      <c r="A583" s="11">
        <v>10002733</v>
      </c>
      <c r="B583" s="17" t="s">
        <v>40</v>
      </c>
      <c r="C583" s="18" t="s">
        <v>13</v>
      </c>
      <c r="D583" s="9">
        <v>46198</v>
      </c>
      <c r="E583" s="17" t="s">
        <v>124</v>
      </c>
      <c r="F583" s="12">
        <v>0.3463310185185185</v>
      </c>
      <c r="G583" s="12">
        <v>0.3463310185185185</v>
      </c>
      <c r="H583" s="13">
        <v>0</v>
      </c>
      <c r="I583" s="14">
        <v>8.5</v>
      </c>
      <c r="J583" s="15">
        <v>-8.5</v>
      </c>
      <c r="K583" s="17" t="s">
        <v>67</v>
      </c>
      <c r="P583" s="1"/>
      <c r="U583" s="1"/>
    </row>
    <row r="584" spans="1:21" x14ac:dyDescent="0.3">
      <c r="A584" s="11">
        <v>10002733</v>
      </c>
      <c r="B584" s="17" t="s">
        <v>40</v>
      </c>
      <c r="C584" s="18" t="s">
        <v>13</v>
      </c>
      <c r="D584" s="9">
        <v>46199</v>
      </c>
      <c r="E584" s="17" t="s">
        <v>125</v>
      </c>
      <c r="F584" s="12">
        <v>0.34306712962962965</v>
      </c>
      <c r="G584" s="12">
        <v>0.34306712962962965</v>
      </c>
      <c r="H584" s="13">
        <v>0</v>
      </c>
      <c r="I584" s="14">
        <v>3</v>
      </c>
      <c r="J584" s="15">
        <v>-3</v>
      </c>
      <c r="K584" s="17" t="s">
        <v>67</v>
      </c>
      <c r="P584" s="1"/>
      <c r="U584" s="1"/>
    </row>
    <row r="585" spans="1:21" x14ac:dyDescent="0.3">
      <c r="A585" s="11">
        <v>10002733</v>
      </c>
      <c r="B585" s="17" t="s">
        <v>40</v>
      </c>
      <c r="C585" s="18" t="s">
        <v>13</v>
      </c>
      <c r="D585" s="9">
        <v>46200</v>
      </c>
      <c r="E585" s="17" t="s">
        <v>126</v>
      </c>
      <c r="F585" s="12"/>
      <c r="G585" s="12"/>
      <c r="H585" s="13">
        <v>0</v>
      </c>
      <c r="I585" s="14">
        <v>0</v>
      </c>
      <c r="J585" s="15">
        <v>0</v>
      </c>
      <c r="K585" s="17" t="s">
        <v>116</v>
      </c>
      <c r="P585" s="1"/>
      <c r="U585" s="1"/>
    </row>
    <row r="586" spans="1:21" x14ac:dyDescent="0.3">
      <c r="A586" s="11">
        <v>10002733</v>
      </c>
      <c r="B586" s="17" t="s">
        <v>40</v>
      </c>
      <c r="C586" s="18" t="s">
        <v>13</v>
      </c>
      <c r="D586" s="9">
        <v>46201</v>
      </c>
      <c r="E586" s="17" t="s">
        <v>113</v>
      </c>
      <c r="F586" s="12">
        <v>0.3709837962962963</v>
      </c>
      <c r="G586" s="12">
        <v>0.3709837962962963</v>
      </c>
      <c r="H586" s="13">
        <v>0</v>
      </c>
      <c r="I586" s="14">
        <v>8.5</v>
      </c>
      <c r="J586" s="15">
        <v>-8.5</v>
      </c>
      <c r="K586" s="17" t="s">
        <v>67</v>
      </c>
      <c r="P586" s="1"/>
      <c r="U586" s="1"/>
    </row>
    <row r="587" spans="1:21" x14ac:dyDescent="0.3">
      <c r="A587" s="11">
        <v>10002733</v>
      </c>
      <c r="B587" s="17" t="s">
        <v>40</v>
      </c>
      <c r="C587" s="18" t="s">
        <v>13</v>
      </c>
      <c r="D587" s="9">
        <v>46202</v>
      </c>
      <c r="E587" s="17" t="s">
        <v>118</v>
      </c>
      <c r="F587" s="12">
        <v>0.34296296296296297</v>
      </c>
      <c r="G587" s="12">
        <v>0.34296296296296297</v>
      </c>
      <c r="H587" s="13">
        <v>0</v>
      </c>
      <c r="I587" s="14">
        <v>8.5</v>
      </c>
      <c r="J587" s="15">
        <v>-8.5</v>
      </c>
      <c r="K587" s="17" t="s">
        <v>67</v>
      </c>
      <c r="P587" s="1"/>
      <c r="U587" s="1"/>
    </row>
    <row r="588" spans="1:21" x14ac:dyDescent="0.3">
      <c r="A588" s="11">
        <v>10002737</v>
      </c>
      <c r="B588" s="17" t="s">
        <v>63</v>
      </c>
      <c r="C588" s="18" t="s">
        <v>24</v>
      </c>
      <c r="D588" s="9">
        <v>46194</v>
      </c>
      <c r="E588" s="17" t="s">
        <v>113</v>
      </c>
      <c r="F588" s="12"/>
      <c r="G588" s="12"/>
      <c r="H588" s="13">
        <v>0</v>
      </c>
      <c r="I588" s="14">
        <v>0</v>
      </c>
      <c r="J588" s="15">
        <v>0</v>
      </c>
      <c r="K588" s="17" t="s">
        <v>116</v>
      </c>
      <c r="P588" s="1"/>
      <c r="U588" s="1"/>
    </row>
    <row r="589" spans="1:21" x14ac:dyDescent="0.3">
      <c r="A589" s="11">
        <v>10002737</v>
      </c>
      <c r="B589" s="17" t="s">
        <v>63</v>
      </c>
      <c r="C589" s="18" t="s">
        <v>24</v>
      </c>
      <c r="D589" s="9">
        <v>46195</v>
      </c>
      <c r="E589" s="17" t="s">
        <v>118</v>
      </c>
      <c r="F589" s="12">
        <v>0.72629629629629633</v>
      </c>
      <c r="G589" s="12">
        <v>0.72629629629629633</v>
      </c>
      <c r="H589" s="13">
        <v>0</v>
      </c>
      <c r="I589" s="14">
        <v>9</v>
      </c>
      <c r="J589" s="15">
        <v>-9</v>
      </c>
      <c r="K589" s="17" t="s">
        <v>67</v>
      </c>
      <c r="P589" s="1"/>
      <c r="U589" s="1"/>
    </row>
    <row r="590" spans="1:21" x14ac:dyDescent="0.3">
      <c r="A590" s="11">
        <v>10002737</v>
      </c>
      <c r="B590" s="17" t="s">
        <v>63</v>
      </c>
      <c r="C590" s="18" t="s">
        <v>24</v>
      </c>
      <c r="D590" s="9">
        <v>46196</v>
      </c>
      <c r="E590" s="17" t="s">
        <v>119</v>
      </c>
      <c r="F590" s="12"/>
      <c r="G590" s="12"/>
      <c r="H590" s="13">
        <v>0</v>
      </c>
      <c r="I590" s="14">
        <v>9</v>
      </c>
      <c r="J590" s="15">
        <v>-9</v>
      </c>
      <c r="K590" s="17" t="s">
        <v>68</v>
      </c>
      <c r="P590" s="1"/>
      <c r="U590" s="1"/>
    </row>
    <row r="591" spans="1:21" x14ac:dyDescent="0.3">
      <c r="A591" s="11">
        <v>10002737</v>
      </c>
      <c r="B591" s="17" t="s">
        <v>63</v>
      </c>
      <c r="C591" s="18" t="s">
        <v>24</v>
      </c>
      <c r="D591" s="9">
        <v>46197</v>
      </c>
      <c r="E591" s="17" t="s">
        <v>123</v>
      </c>
      <c r="F591" s="12">
        <v>0.33024305555555555</v>
      </c>
      <c r="G591" s="12">
        <v>0.72158564814814818</v>
      </c>
      <c r="H591" s="13">
        <v>9.3922222222222231</v>
      </c>
      <c r="I591" s="14">
        <v>9</v>
      </c>
      <c r="J591" s="15">
        <v>0.39222222222222314</v>
      </c>
      <c r="K591" s="17" t="s">
        <v>115</v>
      </c>
      <c r="P591" s="1"/>
      <c r="U591" s="1"/>
    </row>
    <row r="592" spans="1:21" x14ac:dyDescent="0.3">
      <c r="A592" s="11">
        <v>10002737</v>
      </c>
      <c r="B592" s="17" t="s">
        <v>63</v>
      </c>
      <c r="C592" s="18" t="s">
        <v>24</v>
      </c>
      <c r="D592" s="9">
        <v>46198</v>
      </c>
      <c r="E592" s="17" t="s">
        <v>124</v>
      </c>
      <c r="F592" s="12">
        <v>0.33406249999999998</v>
      </c>
      <c r="G592" s="12">
        <v>0.33406249999999998</v>
      </c>
      <c r="H592" s="13">
        <v>0</v>
      </c>
      <c r="I592" s="14">
        <v>9</v>
      </c>
      <c r="J592" s="15">
        <v>-9</v>
      </c>
      <c r="K592" s="17" t="s">
        <v>67</v>
      </c>
      <c r="P592" s="1"/>
      <c r="U592" s="1"/>
    </row>
    <row r="593" spans="1:21" x14ac:dyDescent="0.3">
      <c r="A593" s="11">
        <v>10002737</v>
      </c>
      <c r="B593" s="17" t="s">
        <v>63</v>
      </c>
      <c r="C593" s="18" t="s">
        <v>24</v>
      </c>
      <c r="D593" s="9">
        <v>46199</v>
      </c>
      <c r="E593" s="17" t="s">
        <v>125</v>
      </c>
      <c r="F593" s="12">
        <v>0.34104166666666669</v>
      </c>
      <c r="G593" s="12">
        <v>0.53236111111111106</v>
      </c>
      <c r="H593" s="13">
        <v>4.591666666666665</v>
      </c>
      <c r="I593" s="14">
        <v>4</v>
      </c>
      <c r="J593" s="15">
        <v>0.59166666666666501</v>
      </c>
      <c r="K593" s="17" t="s">
        <v>115</v>
      </c>
      <c r="P593" s="1"/>
      <c r="U593" s="1"/>
    </row>
    <row r="594" spans="1:21" x14ac:dyDescent="0.3">
      <c r="A594" s="11">
        <v>10002737</v>
      </c>
      <c r="B594" s="17" t="s">
        <v>63</v>
      </c>
      <c r="C594" s="18" t="s">
        <v>24</v>
      </c>
      <c r="D594" s="9">
        <v>46200</v>
      </c>
      <c r="E594" s="17" t="s">
        <v>126</v>
      </c>
      <c r="F594" s="12"/>
      <c r="G594" s="12"/>
      <c r="H594" s="13">
        <v>0</v>
      </c>
      <c r="I594" s="14">
        <v>0</v>
      </c>
      <c r="J594" s="15">
        <v>0</v>
      </c>
      <c r="K594" s="17" t="s">
        <v>116</v>
      </c>
      <c r="P594" s="1"/>
      <c r="U594" s="1"/>
    </row>
    <row r="595" spans="1:21" x14ac:dyDescent="0.3">
      <c r="A595" s="11">
        <v>10002737</v>
      </c>
      <c r="B595" s="17" t="s">
        <v>63</v>
      </c>
      <c r="C595" s="18" t="s">
        <v>24</v>
      </c>
      <c r="D595" s="9">
        <v>46201</v>
      </c>
      <c r="E595" s="17" t="s">
        <v>113</v>
      </c>
      <c r="F595" s="12"/>
      <c r="G595" s="12"/>
      <c r="H595" s="13">
        <v>0</v>
      </c>
      <c r="I595" s="14">
        <v>0</v>
      </c>
      <c r="J595" s="15">
        <v>0</v>
      </c>
      <c r="K595" s="17" t="s">
        <v>116</v>
      </c>
      <c r="P595" s="1"/>
      <c r="U595" s="1"/>
    </row>
    <row r="596" spans="1:21" x14ac:dyDescent="0.3">
      <c r="A596" s="11">
        <v>10002737</v>
      </c>
      <c r="B596" s="17" t="s">
        <v>63</v>
      </c>
      <c r="C596" s="18" t="s">
        <v>24</v>
      </c>
      <c r="D596" s="9">
        <v>46202</v>
      </c>
      <c r="E596" s="17" t="s">
        <v>118</v>
      </c>
      <c r="F596" s="12">
        <v>0.72281249999999997</v>
      </c>
      <c r="G596" s="12">
        <v>0.72281249999999997</v>
      </c>
      <c r="H596" s="13">
        <v>0</v>
      </c>
      <c r="I596" s="14">
        <v>9</v>
      </c>
      <c r="J596" s="15">
        <v>-9</v>
      </c>
      <c r="K596" s="17" t="s">
        <v>67</v>
      </c>
      <c r="P596" s="1"/>
      <c r="U596" s="1"/>
    </row>
    <row r="597" spans="1:21" x14ac:dyDescent="0.3">
      <c r="A597" s="11">
        <v>10002755</v>
      </c>
      <c r="B597" s="17" t="s">
        <v>31</v>
      </c>
      <c r="C597" s="18" t="s">
        <v>100</v>
      </c>
      <c r="D597" s="9">
        <v>46194</v>
      </c>
      <c r="E597" s="17" t="s">
        <v>113</v>
      </c>
      <c r="F597" s="12"/>
      <c r="G597" s="12"/>
      <c r="H597" s="13">
        <v>0</v>
      </c>
      <c r="I597" s="14">
        <v>0</v>
      </c>
      <c r="J597" s="15">
        <v>0</v>
      </c>
      <c r="K597" s="17" t="s">
        <v>116</v>
      </c>
      <c r="P597" s="1"/>
      <c r="U597" s="1"/>
    </row>
    <row r="598" spans="1:21" x14ac:dyDescent="0.3">
      <c r="A598" s="11">
        <v>10002755</v>
      </c>
      <c r="B598" s="17" t="s">
        <v>31</v>
      </c>
      <c r="C598" s="18" t="s">
        <v>100</v>
      </c>
      <c r="D598" s="9">
        <v>46195</v>
      </c>
      <c r="E598" s="17" t="s">
        <v>118</v>
      </c>
      <c r="F598" s="12">
        <v>0.34561342592592592</v>
      </c>
      <c r="G598" s="12">
        <v>0.74019675925925921</v>
      </c>
      <c r="H598" s="13">
        <v>9.4699999999999989</v>
      </c>
      <c r="I598" s="14">
        <v>9</v>
      </c>
      <c r="J598" s="15">
        <v>0.46999999999999886</v>
      </c>
      <c r="K598" s="17" t="s">
        <v>115</v>
      </c>
      <c r="P598" s="1"/>
      <c r="U598" s="1"/>
    </row>
    <row r="599" spans="1:21" x14ac:dyDescent="0.3">
      <c r="A599" s="11">
        <v>10002755</v>
      </c>
      <c r="B599" s="17" t="s">
        <v>31</v>
      </c>
      <c r="C599" s="18" t="s">
        <v>100</v>
      </c>
      <c r="D599" s="9">
        <v>46196</v>
      </c>
      <c r="E599" s="17" t="s">
        <v>119</v>
      </c>
      <c r="F599" s="12">
        <v>0.34724537037037034</v>
      </c>
      <c r="G599" s="12">
        <v>0.80768518518518517</v>
      </c>
      <c r="H599" s="13">
        <v>11.050555555555556</v>
      </c>
      <c r="I599" s="14">
        <v>9</v>
      </c>
      <c r="J599" s="15">
        <v>2.0505555555555564</v>
      </c>
      <c r="K599" s="17" t="s">
        <v>115</v>
      </c>
      <c r="P599" s="1"/>
      <c r="U599" s="1"/>
    </row>
    <row r="600" spans="1:21" x14ac:dyDescent="0.3">
      <c r="A600" s="11">
        <v>10002755</v>
      </c>
      <c r="B600" s="17" t="s">
        <v>31</v>
      </c>
      <c r="C600" s="18" t="s">
        <v>100</v>
      </c>
      <c r="D600" s="9">
        <v>46197</v>
      </c>
      <c r="E600" s="17" t="s">
        <v>123</v>
      </c>
      <c r="F600" s="12">
        <v>0.34961805555555553</v>
      </c>
      <c r="G600" s="12">
        <v>0.73333333333333328</v>
      </c>
      <c r="H600" s="13">
        <v>9.2091666666666665</v>
      </c>
      <c r="I600" s="14">
        <v>9</v>
      </c>
      <c r="J600" s="15">
        <v>0.2091666666666665</v>
      </c>
      <c r="K600" s="17" t="s">
        <v>115</v>
      </c>
      <c r="P600" s="1"/>
      <c r="U600" s="1"/>
    </row>
    <row r="601" spans="1:21" x14ac:dyDescent="0.3">
      <c r="A601" s="11">
        <v>10002755</v>
      </c>
      <c r="B601" s="17" t="s">
        <v>31</v>
      </c>
      <c r="C601" s="18" t="s">
        <v>100</v>
      </c>
      <c r="D601" s="9">
        <v>46198</v>
      </c>
      <c r="E601" s="17" t="s">
        <v>124</v>
      </c>
      <c r="F601" s="12">
        <v>0.35098379629629628</v>
      </c>
      <c r="G601" s="12">
        <v>0.72721064814814818</v>
      </c>
      <c r="H601" s="13">
        <v>9.0294444444444455</v>
      </c>
      <c r="I601" s="14">
        <v>9</v>
      </c>
      <c r="J601" s="15">
        <v>2.9444444444445494E-2</v>
      </c>
      <c r="K601" s="17" t="s">
        <v>115</v>
      </c>
      <c r="P601" s="1"/>
      <c r="U601" s="1"/>
    </row>
    <row r="602" spans="1:21" x14ac:dyDescent="0.3">
      <c r="A602" s="11">
        <v>10002755</v>
      </c>
      <c r="B602" s="17" t="s">
        <v>31</v>
      </c>
      <c r="C602" s="18" t="s">
        <v>100</v>
      </c>
      <c r="D602" s="9">
        <v>46199</v>
      </c>
      <c r="E602" s="17" t="s">
        <v>125</v>
      </c>
      <c r="F602" s="12">
        <v>0.34594907407407405</v>
      </c>
      <c r="G602" s="12">
        <v>0.52931712962962962</v>
      </c>
      <c r="H602" s="13">
        <v>4.4008333333333338</v>
      </c>
      <c r="I602" s="14">
        <v>4</v>
      </c>
      <c r="J602" s="15">
        <v>0.40083333333333382</v>
      </c>
      <c r="K602" s="17" t="s">
        <v>115</v>
      </c>
      <c r="P602" s="1"/>
      <c r="U602" s="1"/>
    </row>
    <row r="603" spans="1:21" x14ac:dyDescent="0.3">
      <c r="A603" s="11">
        <v>10002755</v>
      </c>
      <c r="B603" s="17" t="s">
        <v>31</v>
      </c>
      <c r="C603" s="18" t="s">
        <v>100</v>
      </c>
      <c r="D603" s="9">
        <v>46200</v>
      </c>
      <c r="E603" s="17" t="s">
        <v>126</v>
      </c>
      <c r="F603" s="12"/>
      <c r="G603" s="12"/>
      <c r="H603" s="13">
        <v>0</v>
      </c>
      <c r="I603" s="14">
        <v>0</v>
      </c>
      <c r="J603" s="15">
        <v>0</v>
      </c>
      <c r="K603" s="17" t="s">
        <v>116</v>
      </c>
      <c r="P603" s="1"/>
      <c r="U603" s="1"/>
    </row>
    <row r="604" spans="1:21" x14ac:dyDescent="0.3">
      <c r="A604" s="11">
        <v>10002755</v>
      </c>
      <c r="B604" s="17" t="s">
        <v>31</v>
      </c>
      <c r="C604" s="18" t="s">
        <v>100</v>
      </c>
      <c r="D604" s="9">
        <v>46201</v>
      </c>
      <c r="E604" s="17" t="s">
        <v>113</v>
      </c>
      <c r="F604" s="12"/>
      <c r="G604" s="12"/>
      <c r="H604" s="13">
        <v>0</v>
      </c>
      <c r="I604" s="14">
        <v>0</v>
      </c>
      <c r="J604" s="15">
        <v>0</v>
      </c>
      <c r="K604" s="17" t="s">
        <v>116</v>
      </c>
      <c r="P604" s="1"/>
      <c r="U604" s="1"/>
    </row>
    <row r="605" spans="1:21" x14ac:dyDescent="0.3">
      <c r="A605" s="11">
        <v>10002755</v>
      </c>
      <c r="B605" s="17" t="s">
        <v>31</v>
      </c>
      <c r="C605" s="18" t="s">
        <v>100</v>
      </c>
      <c r="D605" s="9">
        <v>46202</v>
      </c>
      <c r="E605" s="17" t="s">
        <v>118</v>
      </c>
      <c r="F605" s="12">
        <v>0.33870370370370373</v>
      </c>
      <c r="G605" s="12">
        <v>0.73327546296296298</v>
      </c>
      <c r="H605" s="13">
        <v>9.4697222222222219</v>
      </c>
      <c r="I605" s="14">
        <v>9</v>
      </c>
      <c r="J605" s="15">
        <v>0.46972222222222193</v>
      </c>
      <c r="K605" s="17" t="s">
        <v>115</v>
      </c>
      <c r="P605" s="1"/>
      <c r="U605" s="1"/>
    </row>
    <row r="606" spans="1:21" x14ac:dyDescent="0.3">
      <c r="A606" s="11">
        <v>10002756</v>
      </c>
      <c r="B606" s="17" t="s">
        <v>47</v>
      </c>
      <c r="C606" s="18" t="s">
        <v>11</v>
      </c>
      <c r="D606" s="9">
        <v>46194</v>
      </c>
      <c r="E606" s="17" t="s">
        <v>113</v>
      </c>
      <c r="F606" s="12"/>
      <c r="G606" s="12"/>
      <c r="H606" s="13">
        <v>0</v>
      </c>
      <c r="I606" s="14">
        <v>0</v>
      </c>
      <c r="J606" s="15">
        <v>0</v>
      </c>
      <c r="K606" s="17" t="s">
        <v>116</v>
      </c>
      <c r="P606" s="1"/>
      <c r="U606" s="1"/>
    </row>
    <row r="607" spans="1:21" x14ac:dyDescent="0.3">
      <c r="A607" s="11">
        <v>10002756</v>
      </c>
      <c r="B607" s="17" t="s">
        <v>47</v>
      </c>
      <c r="C607" s="18" t="s">
        <v>11</v>
      </c>
      <c r="D607" s="9">
        <v>46195</v>
      </c>
      <c r="E607" s="17" t="s">
        <v>118</v>
      </c>
      <c r="F607" s="12">
        <v>0.35200231481481481</v>
      </c>
      <c r="G607" s="12">
        <v>0.77613425925925927</v>
      </c>
      <c r="H607" s="13">
        <v>10.179166666666667</v>
      </c>
      <c r="I607" s="14">
        <v>9</v>
      </c>
      <c r="J607" s="15">
        <v>1.1791666666666671</v>
      </c>
      <c r="K607" s="17" t="s">
        <v>115</v>
      </c>
      <c r="P607" s="1"/>
      <c r="U607" s="1"/>
    </row>
    <row r="608" spans="1:21" x14ac:dyDescent="0.3">
      <c r="A608" s="11">
        <v>10002756</v>
      </c>
      <c r="B608" s="17" t="s">
        <v>47</v>
      </c>
      <c r="C608" s="18" t="s">
        <v>11</v>
      </c>
      <c r="D608" s="9">
        <v>46196</v>
      </c>
      <c r="E608" s="17" t="s">
        <v>119</v>
      </c>
      <c r="F608" s="12">
        <v>0.47805555555555557</v>
      </c>
      <c r="G608" s="12">
        <v>0.71134259259259258</v>
      </c>
      <c r="H608" s="13">
        <v>5.5988888888888884</v>
      </c>
      <c r="I608" s="14">
        <v>9</v>
      </c>
      <c r="J608" s="15">
        <v>-3.4011111111111116</v>
      </c>
      <c r="K608" s="17" t="s">
        <v>121</v>
      </c>
      <c r="P608" s="1"/>
      <c r="U608" s="1"/>
    </row>
    <row r="609" spans="1:21" x14ac:dyDescent="0.3">
      <c r="A609" s="11">
        <v>10002756</v>
      </c>
      <c r="B609" s="17" t="s">
        <v>47</v>
      </c>
      <c r="C609" s="18" t="s">
        <v>11</v>
      </c>
      <c r="D609" s="9">
        <v>46197</v>
      </c>
      <c r="E609" s="17" t="s">
        <v>123</v>
      </c>
      <c r="F609" s="12">
        <v>0.35334490740740743</v>
      </c>
      <c r="G609" s="12">
        <v>0.75693287037037038</v>
      </c>
      <c r="H609" s="13">
        <v>9.68611111111111</v>
      </c>
      <c r="I609" s="14">
        <v>9</v>
      </c>
      <c r="J609" s="15">
        <v>0.68611111111111001</v>
      </c>
      <c r="K609" s="17" t="s">
        <v>115</v>
      </c>
      <c r="P609" s="1"/>
      <c r="U609" s="1"/>
    </row>
    <row r="610" spans="1:21" x14ac:dyDescent="0.3">
      <c r="A610" s="11">
        <v>10002756</v>
      </c>
      <c r="B610" s="17" t="s">
        <v>47</v>
      </c>
      <c r="C610" s="18" t="s">
        <v>11</v>
      </c>
      <c r="D610" s="9">
        <v>46198</v>
      </c>
      <c r="E610" s="17" t="s">
        <v>124</v>
      </c>
      <c r="F610" s="12">
        <v>0.4604861111111111</v>
      </c>
      <c r="G610" s="12">
        <v>0.74862268518518515</v>
      </c>
      <c r="H610" s="13">
        <v>6.9152777777777779</v>
      </c>
      <c r="I610" s="14">
        <v>9</v>
      </c>
      <c r="J610" s="15">
        <v>-2.0847222222222221</v>
      </c>
      <c r="K610" s="17" t="s">
        <v>121</v>
      </c>
      <c r="P610" s="1"/>
      <c r="U610" s="1"/>
    </row>
    <row r="611" spans="1:21" x14ac:dyDescent="0.3">
      <c r="A611" s="11">
        <v>10002756</v>
      </c>
      <c r="B611" s="17" t="s">
        <v>47</v>
      </c>
      <c r="C611" s="18" t="s">
        <v>11</v>
      </c>
      <c r="D611" s="9">
        <v>46199</v>
      </c>
      <c r="E611" s="17" t="s">
        <v>125</v>
      </c>
      <c r="F611" s="12">
        <v>0.33035879629629628</v>
      </c>
      <c r="G611" s="12">
        <v>0.5237384259259259</v>
      </c>
      <c r="H611" s="13">
        <v>4.641111111111111</v>
      </c>
      <c r="I611" s="14">
        <v>4</v>
      </c>
      <c r="J611" s="15">
        <v>0.64111111111111097</v>
      </c>
      <c r="K611" s="17" t="s">
        <v>115</v>
      </c>
      <c r="P611" s="1"/>
      <c r="U611" s="1"/>
    </row>
    <row r="612" spans="1:21" x14ac:dyDescent="0.3">
      <c r="A612" s="11">
        <v>10002756</v>
      </c>
      <c r="B612" s="17" t="s">
        <v>47</v>
      </c>
      <c r="C612" s="18" t="s">
        <v>11</v>
      </c>
      <c r="D612" s="9">
        <v>46200</v>
      </c>
      <c r="E612" s="17" t="s">
        <v>126</v>
      </c>
      <c r="F612" s="12"/>
      <c r="G612" s="12"/>
      <c r="H612" s="13">
        <v>0</v>
      </c>
      <c r="I612" s="14">
        <v>0</v>
      </c>
      <c r="J612" s="15">
        <v>0</v>
      </c>
      <c r="K612" s="17" t="s">
        <v>116</v>
      </c>
      <c r="P612" s="1"/>
      <c r="U612" s="1"/>
    </row>
    <row r="613" spans="1:21" x14ac:dyDescent="0.3">
      <c r="A613" s="11">
        <v>10002756</v>
      </c>
      <c r="B613" s="17" t="s">
        <v>47</v>
      </c>
      <c r="C613" s="18" t="s">
        <v>11</v>
      </c>
      <c r="D613" s="9">
        <v>46201</v>
      </c>
      <c r="E613" s="17" t="s">
        <v>113</v>
      </c>
      <c r="F613" s="12">
        <v>0.40113425925925927</v>
      </c>
      <c r="G613" s="12">
        <v>0.53167824074074077</v>
      </c>
      <c r="H613" s="13">
        <v>3.1330555555555559</v>
      </c>
      <c r="I613" s="14">
        <v>0</v>
      </c>
      <c r="J613" s="15">
        <v>3.1330555555555559</v>
      </c>
      <c r="K613" s="17" t="s">
        <v>114</v>
      </c>
      <c r="P613" s="1"/>
      <c r="U613" s="1"/>
    </row>
    <row r="614" spans="1:21" x14ac:dyDescent="0.3">
      <c r="A614" s="11">
        <v>10002756</v>
      </c>
      <c r="B614" s="17" t="s">
        <v>47</v>
      </c>
      <c r="C614" s="18" t="s">
        <v>11</v>
      </c>
      <c r="D614" s="9">
        <v>46202</v>
      </c>
      <c r="E614" s="17" t="s">
        <v>118</v>
      </c>
      <c r="F614" s="12">
        <v>0.71710648148148148</v>
      </c>
      <c r="G614" s="12">
        <v>0.71710648148148148</v>
      </c>
      <c r="H614" s="13">
        <v>0</v>
      </c>
      <c r="I614" s="14">
        <v>9</v>
      </c>
      <c r="J614" s="15">
        <v>-9</v>
      </c>
      <c r="K614" s="17" t="s">
        <v>67</v>
      </c>
      <c r="P614" s="1"/>
      <c r="U614" s="1"/>
    </row>
    <row r="615" spans="1:21" x14ac:dyDescent="0.3">
      <c r="A615" s="11">
        <v>10002871</v>
      </c>
      <c r="B615" s="17" t="s">
        <v>39</v>
      </c>
      <c r="C615" s="18" t="s">
        <v>13</v>
      </c>
      <c r="D615" s="9">
        <v>46194</v>
      </c>
      <c r="E615" s="17" t="s">
        <v>113</v>
      </c>
      <c r="F615" s="12">
        <v>0.34185185185185185</v>
      </c>
      <c r="G615" s="12">
        <v>0.76159722222222226</v>
      </c>
      <c r="H615" s="13">
        <v>10.07388888888889</v>
      </c>
      <c r="I615" s="14">
        <v>8.5</v>
      </c>
      <c r="J615" s="15">
        <v>1.5738888888888898</v>
      </c>
      <c r="K615" s="17" t="s">
        <v>115</v>
      </c>
      <c r="P615" s="1"/>
      <c r="U615" s="1"/>
    </row>
    <row r="616" spans="1:21" x14ac:dyDescent="0.3">
      <c r="A616" s="11">
        <v>10002871</v>
      </c>
      <c r="B616" s="17" t="s">
        <v>39</v>
      </c>
      <c r="C616" s="18" t="s">
        <v>13</v>
      </c>
      <c r="D616" s="9">
        <v>46195</v>
      </c>
      <c r="E616" s="17" t="s">
        <v>118</v>
      </c>
      <c r="F616" s="12">
        <v>0.34252314814814816</v>
      </c>
      <c r="G616" s="12">
        <v>0.79700231481481476</v>
      </c>
      <c r="H616" s="13">
        <v>10.907499999999999</v>
      </c>
      <c r="I616" s="14">
        <v>8.5</v>
      </c>
      <c r="J616" s="15">
        <v>2.4074999999999989</v>
      </c>
      <c r="K616" s="17" t="s">
        <v>115</v>
      </c>
      <c r="P616" s="1"/>
      <c r="U616" s="1"/>
    </row>
    <row r="617" spans="1:21" x14ac:dyDescent="0.3">
      <c r="A617" s="11">
        <v>10002871</v>
      </c>
      <c r="B617" s="17" t="s">
        <v>39</v>
      </c>
      <c r="C617" s="18" t="s">
        <v>13</v>
      </c>
      <c r="D617" s="9">
        <v>46196</v>
      </c>
      <c r="E617" s="17" t="s">
        <v>119</v>
      </c>
      <c r="F617" s="12">
        <v>0.34302083333333333</v>
      </c>
      <c r="G617" s="12">
        <v>0.83398148148148143</v>
      </c>
      <c r="H617" s="13">
        <v>11.783055555555555</v>
      </c>
      <c r="I617" s="14">
        <v>8.5</v>
      </c>
      <c r="J617" s="15">
        <v>3.2830555555555545</v>
      </c>
      <c r="K617" s="17" t="s">
        <v>115</v>
      </c>
      <c r="P617" s="1"/>
      <c r="U617" s="1"/>
    </row>
    <row r="618" spans="1:21" x14ac:dyDescent="0.3">
      <c r="A618" s="11">
        <v>10002871</v>
      </c>
      <c r="B618" s="17" t="s">
        <v>39</v>
      </c>
      <c r="C618" s="18" t="s">
        <v>13</v>
      </c>
      <c r="D618" s="9">
        <v>46197</v>
      </c>
      <c r="E618" s="17" t="s">
        <v>123</v>
      </c>
      <c r="F618" s="12">
        <v>0.3420138888888889</v>
      </c>
      <c r="G618" s="12">
        <v>0.83612268518518518</v>
      </c>
      <c r="H618" s="13">
        <v>11.858611111111111</v>
      </c>
      <c r="I618" s="14">
        <v>8.5</v>
      </c>
      <c r="J618" s="15">
        <v>3.3586111111111112</v>
      </c>
      <c r="K618" s="17" t="s">
        <v>115</v>
      </c>
      <c r="P618" s="1"/>
      <c r="U618" s="1"/>
    </row>
    <row r="619" spans="1:21" x14ac:dyDescent="0.3">
      <c r="A619" s="11">
        <v>10002871</v>
      </c>
      <c r="B619" s="17" t="s">
        <v>39</v>
      </c>
      <c r="C619" s="18" t="s">
        <v>13</v>
      </c>
      <c r="D619" s="9">
        <v>46198</v>
      </c>
      <c r="E619" s="17" t="s">
        <v>124</v>
      </c>
      <c r="F619" s="12">
        <v>0.3417824074074074</v>
      </c>
      <c r="G619" s="12">
        <v>0.86224537037037041</v>
      </c>
      <c r="H619" s="13">
        <v>12.491111111111113</v>
      </c>
      <c r="I619" s="14">
        <v>8.5</v>
      </c>
      <c r="J619" s="15">
        <v>3.9911111111111133</v>
      </c>
      <c r="K619" s="17" t="s">
        <v>115</v>
      </c>
      <c r="P619" s="1"/>
      <c r="U619" s="1"/>
    </row>
    <row r="620" spans="1:21" x14ac:dyDescent="0.3">
      <c r="A620" s="11">
        <v>10002871</v>
      </c>
      <c r="B620" s="17" t="s">
        <v>39</v>
      </c>
      <c r="C620" s="18" t="s">
        <v>13</v>
      </c>
      <c r="D620" s="9">
        <v>46199</v>
      </c>
      <c r="E620" s="17" t="s">
        <v>125</v>
      </c>
      <c r="F620" s="12">
        <v>0.34636574074074072</v>
      </c>
      <c r="G620" s="12">
        <v>0.57793981481481482</v>
      </c>
      <c r="H620" s="13">
        <v>5.5577777777777779</v>
      </c>
      <c r="I620" s="14">
        <v>3</v>
      </c>
      <c r="J620" s="15">
        <v>2.5577777777777779</v>
      </c>
      <c r="K620" s="17" t="s">
        <v>115</v>
      </c>
      <c r="P620" s="1"/>
      <c r="U620" s="1"/>
    </row>
    <row r="621" spans="1:21" x14ac:dyDescent="0.3">
      <c r="A621" s="11">
        <v>10002871</v>
      </c>
      <c r="B621" s="17" t="s">
        <v>39</v>
      </c>
      <c r="C621" s="18" t="s">
        <v>13</v>
      </c>
      <c r="D621" s="9">
        <v>46200</v>
      </c>
      <c r="E621" s="17" t="s">
        <v>126</v>
      </c>
      <c r="F621" s="12"/>
      <c r="G621" s="12"/>
      <c r="H621" s="13">
        <v>0</v>
      </c>
      <c r="I621" s="14">
        <v>0</v>
      </c>
      <c r="J621" s="15">
        <v>0</v>
      </c>
      <c r="K621" s="17" t="s">
        <v>116</v>
      </c>
      <c r="P621" s="1"/>
      <c r="U621" s="1"/>
    </row>
    <row r="622" spans="1:21" x14ac:dyDescent="0.3">
      <c r="A622" s="11">
        <v>10002871</v>
      </c>
      <c r="B622" s="17" t="s">
        <v>39</v>
      </c>
      <c r="C622" s="18" t="s">
        <v>13</v>
      </c>
      <c r="D622" s="9">
        <v>46201</v>
      </c>
      <c r="E622" s="17" t="s">
        <v>113</v>
      </c>
      <c r="F622" s="12">
        <v>0.34270833333333334</v>
      </c>
      <c r="G622" s="12">
        <v>0.7281481481481481</v>
      </c>
      <c r="H622" s="13">
        <v>9.2505555555555539</v>
      </c>
      <c r="I622" s="14">
        <v>8.5</v>
      </c>
      <c r="J622" s="15">
        <v>0.75055555555555387</v>
      </c>
      <c r="K622" s="17" t="s">
        <v>115</v>
      </c>
      <c r="P622" s="1"/>
      <c r="U622" s="1"/>
    </row>
    <row r="623" spans="1:21" x14ac:dyDescent="0.3">
      <c r="A623" s="11">
        <v>10002871</v>
      </c>
      <c r="B623" s="17" t="s">
        <v>39</v>
      </c>
      <c r="C623" s="18" t="s">
        <v>13</v>
      </c>
      <c r="D623" s="9">
        <v>46202</v>
      </c>
      <c r="E623" s="17" t="s">
        <v>118</v>
      </c>
      <c r="F623" s="12">
        <v>0.34267361111111111</v>
      </c>
      <c r="G623" s="12">
        <v>0.75556712962962957</v>
      </c>
      <c r="H623" s="13">
        <v>9.9094444444444427</v>
      </c>
      <c r="I623" s="14">
        <v>8.5</v>
      </c>
      <c r="J623" s="15">
        <v>1.4094444444444427</v>
      </c>
      <c r="K623" s="17" t="s">
        <v>115</v>
      </c>
      <c r="P623" s="1"/>
      <c r="U623" s="1"/>
    </row>
    <row r="624" spans="1:21" x14ac:dyDescent="0.3">
      <c r="A624" s="11">
        <v>10002888</v>
      </c>
      <c r="B624" s="17" t="s">
        <v>86</v>
      </c>
      <c r="C624" s="18" t="s">
        <v>100</v>
      </c>
      <c r="D624" s="9">
        <v>46194</v>
      </c>
      <c r="E624" s="17" t="s">
        <v>113</v>
      </c>
      <c r="F624" s="12"/>
      <c r="G624" s="12"/>
      <c r="H624" s="13">
        <v>0</v>
      </c>
      <c r="I624" s="14">
        <v>0</v>
      </c>
      <c r="J624" s="15">
        <v>0</v>
      </c>
      <c r="K624" s="17" t="s">
        <v>116</v>
      </c>
      <c r="P624" s="1"/>
      <c r="U624" s="1"/>
    </row>
    <row r="625" spans="1:21" x14ac:dyDescent="0.3">
      <c r="A625" s="11">
        <v>10002888</v>
      </c>
      <c r="B625" s="17" t="s">
        <v>86</v>
      </c>
      <c r="C625" s="18" t="s">
        <v>100</v>
      </c>
      <c r="D625" s="9">
        <v>46195</v>
      </c>
      <c r="E625" s="17" t="s">
        <v>118</v>
      </c>
      <c r="F625" s="12">
        <v>0.35347222222222224</v>
      </c>
      <c r="G625" s="12">
        <v>0.8087037037037037</v>
      </c>
      <c r="H625" s="13">
        <v>10.925555555555555</v>
      </c>
      <c r="I625" s="14">
        <v>9</v>
      </c>
      <c r="J625" s="15">
        <v>1.9255555555555546</v>
      </c>
      <c r="K625" s="17" t="s">
        <v>115</v>
      </c>
      <c r="P625" s="1"/>
      <c r="U625" s="1"/>
    </row>
    <row r="626" spans="1:21" x14ac:dyDescent="0.3">
      <c r="A626" s="11">
        <v>10002888</v>
      </c>
      <c r="B626" s="17" t="s">
        <v>86</v>
      </c>
      <c r="C626" s="18" t="s">
        <v>100</v>
      </c>
      <c r="D626" s="9">
        <v>46196</v>
      </c>
      <c r="E626" s="17" t="s">
        <v>119</v>
      </c>
      <c r="F626" s="12">
        <v>0.35253472222222221</v>
      </c>
      <c r="G626" s="12">
        <v>0.91193287037037041</v>
      </c>
      <c r="H626" s="13">
        <v>13.425555555555558</v>
      </c>
      <c r="I626" s="14">
        <v>9</v>
      </c>
      <c r="J626" s="15">
        <v>4.4255555555555581</v>
      </c>
      <c r="K626" s="17" t="s">
        <v>115</v>
      </c>
      <c r="P626" s="1"/>
      <c r="U626" s="1"/>
    </row>
    <row r="627" spans="1:21" x14ac:dyDescent="0.3">
      <c r="A627" s="11">
        <v>10002888</v>
      </c>
      <c r="B627" s="17" t="s">
        <v>86</v>
      </c>
      <c r="C627" s="18" t="s">
        <v>100</v>
      </c>
      <c r="D627" s="9">
        <v>46197</v>
      </c>
      <c r="E627" s="17" t="s">
        <v>123</v>
      </c>
      <c r="F627" s="12">
        <v>0.34062500000000001</v>
      </c>
      <c r="G627" s="12">
        <v>0.77474537037037039</v>
      </c>
      <c r="H627" s="13">
        <v>10.418888888888889</v>
      </c>
      <c r="I627" s="14">
        <v>9</v>
      </c>
      <c r="J627" s="15">
        <v>1.4188888888888886</v>
      </c>
      <c r="K627" s="17" t="s">
        <v>115</v>
      </c>
      <c r="P627" s="1"/>
      <c r="U627" s="1"/>
    </row>
    <row r="628" spans="1:21" x14ac:dyDescent="0.3">
      <c r="A628" s="11">
        <v>10002888</v>
      </c>
      <c r="B628" s="17" t="s">
        <v>86</v>
      </c>
      <c r="C628" s="18" t="s">
        <v>100</v>
      </c>
      <c r="D628" s="9">
        <v>46198</v>
      </c>
      <c r="E628" s="17" t="s">
        <v>124</v>
      </c>
      <c r="F628" s="12">
        <v>0.35200231481481481</v>
      </c>
      <c r="G628" s="12">
        <v>0.94292824074074078</v>
      </c>
      <c r="H628" s="13">
        <v>14.182222222222222</v>
      </c>
      <c r="I628" s="14">
        <v>9</v>
      </c>
      <c r="J628" s="15">
        <v>5.1822222222222223</v>
      </c>
      <c r="K628" s="17" t="s">
        <v>115</v>
      </c>
      <c r="P628" s="1"/>
      <c r="U628" s="1"/>
    </row>
    <row r="629" spans="1:21" x14ac:dyDescent="0.3">
      <c r="A629" s="11">
        <v>10002888</v>
      </c>
      <c r="B629" s="17" t="s">
        <v>86</v>
      </c>
      <c r="C629" s="18" t="s">
        <v>100</v>
      </c>
      <c r="D629" s="9">
        <v>46199</v>
      </c>
      <c r="E629" s="17" t="s">
        <v>125</v>
      </c>
      <c r="F629" s="12">
        <v>0.35376157407407405</v>
      </c>
      <c r="G629" s="12">
        <v>0.75178240740740743</v>
      </c>
      <c r="H629" s="13">
        <v>9.552500000000002</v>
      </c>
      <c r="I629" s="14">
        <v>4</v>
      </c>
      <c r="J629" s="15">
        <v>5.552500000000002</v>
      </c>
      <c r="K629" s="17" t="s">
        <v>115</v>
      </c>
      <c r="P629" s="1"/>
      <c r="U629" s="1"/>
    </row>
    <row r="630" spans="1:21" x14ac:dyDescent="0.3">
      <c r="A630" s="11">
        <v>10002888</v>
      </c>
      <c r="B630" s="17" t="s">
        <v>86</v>
      </c>
      <c r="C630" s="18" t="s">
        <v>100</v>
      </c>
      <c r="D630" s="9">
        <v>46200</v>
      </c>
      <c r="E630" s="17" t="s">
        <v>126</v>
      </c>
      <c r="F630" s="12"/>
      <c r="G630" s="12"/>
      <c r="H630" s="13">
        <v>0</v>
      </c>
      <c r="I630" s="14">
        <v>0</v>
      </c>
      <c r="J630" s="15">
        <v>0</v>
      </c>
      <c r="K630" s="17" t="s">
        <v>116</v>
      </c>
      <c r="P630" s="1"/>
      <c r="U630" s="1"/>
    </row>
    <row r="631" spans="1:21" x14ac:dyDescent="0.3">
      <c r="A631" s="11">
        <v>10002888</v>
      </c>
      <c r="B631" s="17" t="s">
        <v>86</v>
      </c>
      <c r="C631" s="18" t="s">
        <v>100</v>
      </c>
      <c r="D631" s="9">
        <v>46201</v>
      </c>
      <c r="E631" s="17" t="s">
        <v>113</v>
      </c>
      <c r="F631" s="12"/>
      <c r="G631" s="12"/>
      <c r="H631" s="13">
        <v>0</v>
      </c>
      <c r="I631" s="14">
        <v>0</v>
      </c>
      <c r="J631" s="15">
        <v>0</v>
      </c>
      <c r="K631" s="17" t="s">
        <v>116</v>
      </c>
      <c r="P631" s="1"/>
      <c r="U631" s="1"/>
    </row>
    <row r="632" spans="1:21" x14ac:dyDescent="0.3">
      <c r="A632" s="11">
        <v>10002888</v>
      </c>
      <c r="B632" s="17" t="s">
        <v>86</v>
      </c>
      <c r="C632" s="18" t="s">
        <v>100</v>
      </c>
      <c r="D632" s="9">
        <v>46202</v>
      </c>
      <c r="E632" s="17" t="s">
        <v>118</v>
      </c>
      <c r="F632" s="12">
        <v>0.35317129629629629</v>
      </c>
      <c r="G632" s="12">
        <v>0.86569444444444443</v>
      </c>
      <c r="H632" s="13">
        <v>12.300555555555555</v>
      </c>
      <c r="I632" s="14">
        <v>9</v>
      </c>
      <c r="J632" s="15">
        <v>3.3005555555555546</v>
      </c>
      <c r="K632" s="17" t="s">
        <v>115</v>
      </c>
      <c r="P632" s="1"/>
      <c r="U632" s="1"/>
    </row>
    <row r="633" spans="1:21" x14ac:dyDescent="0.3">
      <c r="A633" s="11">
        <v>10002893</v>
      </c>
      <c r="B633" s="17" t="s">
        <v>88</v>
      </c>
      <c r="C633" s="18" t="s">
        <v>14</v>
      </c>
      <c r="D633" s="9">
        <v>46194</v>
      </c>
      <c r="E633" s="17" t="s">
        <v>113</v>
      </c>
      <c r="F633" s="12"/>
      <c r="G633" s="12"/>
      <c r="H633" s="13">
        <v>0</v>
      </c>
      <c r="I633" s="14">
        <v>0</v>
      </c>
      <c r="J633" s="15">
        <v>0</v>
      </c>
      <c r="K633" s="17" t="s">
        <v>116</v>
      </c>
      <c r="P633" s="1"/>
      <c r="U633" s="1"/>
    </row>
    <row r="634" spans="1:21" x14ac:dyDescent="0.3">
      <c r="A634" s="11">
        <v>10002893</v>
      </c>
      <c r="B634" s="17" t="s">
        <v>88</v>
      </c>
      <c r="C634" s="18" t="s">
        <v>14</v>
      </c>
      <c r="D634" s="9">
        <v>46195</v>
      </c>
      <c r="E634" s="17" t="s">
        <v>118</v>
      </c>
      <c r="F634" s="12"/>
      <c r="G634" s="12"/>
      <c r="H634" s="13">
        <v>0</v>
      </c>
      <c r="I634" s="14">
        <v>9</v>
      </c>
      <c r="J634" s="15">
        <v>-9</v>
      </c>
      <c r="K634" s="17" t="s">
        <v>68</v>
      </c>
      <c r="P634" s="1"/>
      <c r="U634" s="1"/>
    </row>
    <row r="635" spans="1:21" x14ac:dyDescent="0.3">
      <c r="A635" s="11">
        <v>10002893</v>
      </c>
      <c r="B635" s="17" t="s">
        <v>88</v>
      </c>
      <c r="C635" s="18" t="s">
        <v>14</v>
      </c>
      <c r="D635" s="9">
        <v>46196</v>
      </c>
      <c r="E635" s="17" t="s">
        <v>119</v>
      </c>
      <c r="F635" s="12">
        <v>0.78226851851851853</v>
      </c>
      <c r="G635" s="12">
        <v>0.78226851851851853</v>
      </c>
      <c r="H635" s="13">
        <v>0</v>
      </c>
      <c r="I635" s="14">
        <v>9</v>
      </c>
      <c r="J635" s="15">
        <v>-9</v>
      </c>
      <c r="K635" s="17" t="s">
        <v>67</v>
      </c>
      <c r="P635" s="1"/>
      <c r="U635" s="1"/>
    </row>
    <row r="636" spans="1:21" x14ac:dyDescent="0.3">
      <c r="A636" s="11">
        <v>10002893</v>
      </c>
      <c r="B636" s="17" t="s">
        <v>88</v>
      </c>
      <c r="C636" s="18" t="s">
        <v>14</v>
      </c>
      <c r="D636" s="9">
        <v>46197</v>
      </c>
      <c r="E636" s="17" t="s">
        <v>123</v>
      </c>
      <c r="F636" s="12">
        <v>0.35337962962962965</v>
      </c>
      <c r="G636" s="12">
        <v>0.73868055555555556</v>
      </c>
      <c r="H636" s="13">
        <v>9.2472222222222218</v>
      </c>
      <c r="I636" s="14">
        <v>9</v>
      </c>
      <c r="J636" s="15">
        <v>0.24722222222222179</v>
      </c>
      <c r="K636" s="17" t="s">
        <v>115</v>
      </c>
      <c r="P636" s="1"/>
      <c r="U636" s="1"/>
    </row>
    <row r="637" spans="1:21" x14ac:dyDescent="0.3">
      <c r="A637" s="11">
        <v>10002893</v>
      </c>
      <c r="B637" s="17" t="s">
        <v>88</v>
      </c>
      <c r="C637" s="18" t="s">
        <v>14</v>
      </c>
      <c r="D637" s="9">
        <v>46198</v>
      </c>
      <c r="E637" s="17" t="s">
        <v>124</v>
      </c>
      <c r="F637" s="12">
        <v>0.3460185185185185</v>
      </c>
      <c r="G637" s="12">
        <v>0.73403935185185187</v>
      </c>
      <c r="H637" s="13">
        <v>9.3125</v>
      </c>
      <c r="I637" s="14">
        <v>9</v>
      </c>
      <c r="J637" s="15">
        <v>0.3125</v>
      </c>
      <c r="K637" s="17" t="s">
        <v>115</v>
      </c>
      <c r="P637" s="1"/>
      <c r="U637" s="1"/>
    </row>
    <row r="638" spans="1:21" x14ac:dyDescent="0.3">
      <c r="A638" s="11">
        <v>10002893</v>
      </c>
      <c r="B638" s="17" t="s">
        <v>88</v>
      </c>
      <c r="C638" s="18" t="s">
        <v>14</v>
      </c>
      <c r="D638" s="9">
        <v>46199</v>
      </c>
      <c r="E638" s="17" t="s">
        <v>125</v>
      </c>
      <c r="F638" s="12">
        <v>0.75028935185185186</v>
      </c>
      <c r="G638" s="12">
        <v>0.75028935185185186</v>
      </c>
      <c r="H638" s="13">
        <v>0</v>
      </c>
      <c r="I638" s="14">
        <v>4</v>
      </c>
      <c r="J638" s="15">
        <v>-4</v>
      </c>
      <c r="K638" s="17" t="s">
        <v>67</v>
      </c>
      <c r="P638" s="1"/>
      <c r="U638" s="1"/>
    </row>
    <row r="639" spans="1:21" x14ac:dyDescent="0.3">
      <c r="A639" s="11">
        <v>10002893</v>
      </c>
      <c r="B639" s="17" t="s">
        <v>88</v>
      </c>
      <c r="C639" s="18" t="s">
        <v>14</v>
      </c>
      <c r="D639" s="9">
        <v>46200</v>
      </c>
      <c r="E639" s="17" t="s">
        <v>126</v>
      </c>
      <c r="F639" s="12"/>
      <c r="G639" s="12"/>
      <c r="H639" s="13">
        <v>0</v>
      </c>
      <c r="I639" s="14">
        <v>0</v>
      </c>
      <c r="J639" s="15">
        <v>0</v>
      </c>
      <c r="K639" s="17" t="s">
        <v>116</v>
      </c>
      <c r="P639" s="1"/>
      <c r="U639" s="1"/>
    </row>
    <row r="640" spans="1:21" x14ac:dyDescent="0.3">
      <c r="A640" s="11">
        <v>10002893</v>
      </c>
      <c r="B640" s="17" t="s">
        <v>88</v>
      </c>
      <c r="C640" s="18" t="s">
        <v>14</v>
      </c>
      <c r="D640" s="9">
        <v>46201</v>
      </c>
      <c r="E640" s="17" t="s">
        <v>113</v>
      </c>
      <c r="F640" s="12"/>
      <c r="G640" s="12"/>
      <c r="H640" s="13">
        <v>0</v>
      </c>
      <c r="I640" s="14">
        <v>0</v>
      </c>
      <c r="J640" s="15">
        <v>0</v>
      </c>
      <c r="K640" s="17" t="s">
        <v>116</v>
      </c>
      <c r="P640" s="1"/>
      <c r="U640" s="1"/>
    </row>
    <row r="641" spans="1:21" x14ac:dyDescent="0.3">
      <c r="A641" s="11">
        <v>10002893</v>
      </c>
      <c r="B641" s="17" t="s">
        <v>88</v>
      </c>
      <c r="C641" s="18" t="s">
        <v>14</v>
      </c>
      <c r="D641" s="9">
        <v>46202</v>
      </c>
      <c r="E641" s="17" t="s">
        <v>118</v>
      </c>
      <c r="F641" s="12"/>
      <c r="G641" s="12"/>
      <c r="H641" s="13">
        <v>0</v>
      </c>
      <c r="I641" s="14">
        <v>9</v>
      </c>
      <c r="J641" s="15">
        <v>-9</v>
      </c>
      <c r="K641" s="17" t="s">
        <v>68</v>
      </c>
      <c r="P641" s="1"/>
      <c r="U641" s="1"/>
    </row>
    <row r="642" spans="1:21" x14ac:dyDescent="0.3">
      <c r="A642" s="11">
        <v>10002896</v>
      </c>
      <c r="B642" s="17" t="s">
        <v>87</v>
      </c>
      <c r="C642" s="18" t="s">
        <v>11</v>
      </c>
      <c r="D642" s="9">
        <v>46194</v>
      </c>
      <c r="E642" s="17" t="s">
        <v>113</v>
      </c>
      <c r="F642" s="12">
        <v>0.43515046296296295</v>
      </c>
      <c r="G642" s="12">
        <v>0.82184027777777779</v>
      </c>
      <c r="H642" s="13">
        <v>9.2805555555555568</v>
      </c>
      <c r="I642" s="14">
        <v>0</v>
      </c>
      <c r="J642" s="15">
        <v>9.2805555555555568</v>
      </c>
      <c r="K642" s="17" t="s">
        <v>114</v>
      </c>
      <c r="P642" s="1"/>
      <c r="U642" s="1"/>
    </row>
    <row r="643" spans="1:21" x14ac:dyDescent="0.3">
      <c r="A643" s="11">
        <v>10002896</v>
      </c>
      <c r="B643" s="17" t="s">
        <v>87</v>
      </c>
      <c r="C643" s="18" t="s">
        <v>11</v>
      </c>
      <c r="D643" s="9">
        <v>46195</v>
      </c>
      <c r="E643" s="17" t="s">
        <v>118</v>
      </c>
      <c r="F643" s="12">
        <v>0.35336805555555556</v>
      </c>
      <c r="G643" s="12">
        <v>0.78271990740740738</v>
      </c>
      <c r="H643" s="13">
        <v>10.304444444444444</v>
      </c>
      <c r="I643" s="14">
        <v>9</v>
      </c>
      <c r="J643" s="15">
        <v>1.3044444444444441</v>
      </c>
      <c r="K643" s="17" t="s">
        <v>115</v>
      </c>
      <c r="P643" s="1"/>
      <c r="U643" s="1"/>
    </row>
    <row r="644" spans="1:21" x14ac:dyDescent="0.3">
      <c r="A644" s="11">
        <v>10002896</v>
      </c>
      <c r="B644" s="17" t="s">
        <v>87</v>
      </c>
      <c r="C644" s="18" t="s">
        <v>11</v>
      </c>
      <c r="D644" s="9">
        <v>46196</v>
      </c>
      <c r="E644" s="17" t="s">
        <v>119</v>
      </c>
      <c r="F644" s="12">
        <v>0.35312500000000002</v>
      </c>
      <c r="G644" s="12">
        <v>0.80476851851851849</v>
      </c>
      <c r="H644" s="13">
        <v>10.839444444444442</v>
      </c>
      <c r="I644" s="14">
        <v>9</v>
      </c>
      <c r="J644" s="15">
        <v>1.8394444444444424</v>
      </c>
      <c r="K644" s="17" t="s">
        <v>115</v>
      </c>
      <c r="P644" s="1"/>
      <c r="U644" s="1"/>
    </row>
    <row r="645" spans="1:21" x14ac:dyDescent="0.3">
      <c r="A645" s="11">
        <v>10002896</v>
      </c>
      <c r="B645" s="17" t="s">
        <v>87</v>
      </c>
      <c r="C645" s="18" t="s">
        <v>11</v>
      </c>
      <c r="D645" s="9">
        <v>46197</v>
      </c>
      <c r="E645" s="17" t="s">
        <v>123</v>
      </c>
      <c r="F645" s="12">
        <v>0.35226851851851854</v>
      </c>
      <c r="G645" s="12">
        <v>0.76129629629629625</v>
      </c>
      <c r="H645" s="13">
        <v>9.8166666666666647</v>
      </c>
      <c r="I645" s="14">
        <v>9</v>
      </c>
      <c r="J645" s="15">
        <v>0.81666666666666465</v>
      </c>
      <c r="K645" s="17" t="s">
        <v>115</v>
      </c>
      <c r="P645" s="1"/>
      <c r="U645" s="1"/>
    </row>
    <row r="646" spans="1:21" x14ac:dyDescent="0.3">
      <c r="A646" s="11">
        <v>10002896</v>
      </c>
      <c r="B646" s="17" t="s">
        <v>87</v>
      </c>
      <c r="C646" s="18" t="s">
        <v>11</v>
      </c>
      <c r="D646" s="9">
        <v>46198</v>
      </c>
      <c r="E646" s="17" t="s">
        <v>124</v>
      </c>
      <c r="F646" s="12">
        <v>0.35068287037037038</v>
      </c>
      <c r="G646" s="12">
        <v>0.76368055555555558</v>
      </c>
      <c r="H646" s="13">
        <v>9.911944444444444</v>
      </c>
      <c r="I646" s="14">
        <v>9</v>
      </c>
      <c r="J646" s="15">
        <v>0.911944444444444</v>
      </c>
      <c r="K646" s="17" t="s">
        <v>115</v>
      </c>
      <c r="P646" s="1"/>
      <c r="U646" s="1"/>
    </row>
    <row r="647" spans="1:21" x14ac:dyDescent="0.3">
      <c r="A647" s="11">
        <v>10002896</v>
      </c>
      <c r="B647" s="17" t="s">
        <v>87</v>
      </c>
      <c r="C647" s="18" t="s">
        <v>11</v>
      </c>
      <c r="D647" s="9">
        <v>46199</v>
      </c>
      <c r="E647" s="17" t="s">
        <v>125</v>
      </c>
      <c r="F647" s="12">
        <v>0.34965277777777776</v>
      </c>
      <c r="G647" s="12">
        <v>0.54116898148148151</v>
      </c>
      <c r="H647" s="13">
        <v>4.5963888888888906</v>
      </c>
      <c r="I647" s="14">
        <v>4</v>
      </c>
      <c r="J647" s="15">
        <v>0.59638888888889063</v>
      </c>
      <c r="K647" s="17" t="s">
        <v>115</v>
      </c>
      <c r="P647" s="1"/>
      <c r="U647" s="1"/>
    </row>
    <row r="648" spans="1:21" x14ac:dyDescent="0.3">
      <c r="A648" s="11">
        <v>10002896</v>
      </c>
      <c r="B648" s="17" t="s">
        <v>87</v>
      </c>
      <c r="C648" s="18" t="s">
        <v>11</v>
      </c>
      <c r="D648" s="9">
        <v>46200</v>
      </c>
      <c r="E648" s="17" t="s">
        <v>126</v>
      </c>
      <c r="F648" s="12"/>
      <c r="G648" s="12"/>
      <c r="H648" s="13">
        <v>0</v>
      </c>
      <c r="I648" s="14">
        <v>0</v>
      </c>
      <c r="J648" s="15">
        <v>0</v>
      </c>
      <c r="K648" s="17" t="s">
        <v>116</v>
      </c>
      <c r="P648" s="1"/>
      <c r="U648" s="1"/>
    </row>
    <row r="649" spans="1:21" x14ac:dyDescent="0.3">
      <c r="A649" s="11">
        <v>10002896</v>
      </c>
      <c r="B649" s="17" t="s">
        <v>87</v>
      </c>
      <c r="C649" s="18" t="s">
        <v>11</v>
      </c>
      <c r="D649" s="9">
        <v>46201</v>
      </c>
      <c r="E649" s="17" t="s">
        <v>113</v>
      </c>
      <c r="F649" s="12">
        <v>0.44981481481481483</v>
      </c>
      <c r="G649" s="12">
        <v>0.71168981481481486</v>
      </c>
      <c r="H649" s="13">
        <v>6.2850000000000001</v>
      </c>
      <c r="I649" s="14">
        <v>0</v>
      </c>
      <c r="J649" s="15">
        <v>6.2850000000000001</v>
      </c>
      <c r="K649" s="17" t="s">
        <v>114</v>
      </c>
      <c r="P649" s="1"/>
      <c r="U649" s="1"/>
    </row>
    <row r="650" spans="1:21" x14ac:dyDescent="0.3">
      <c r="A650" s="11">
        <v>10002896</v>
      </c>
      <c r="B650" s="17" t="s">
        <v>87</v>
      </c>
      <c r="C650" s="18" t="s">
        <v>11</v>
      </c>
      <c r="D650" s="9">
        <v>46202</v>
      </c>
      <c r="E650" s="17" t="s">
        <v>118</v>
      </c>
      <c r="F650" s="12">
        <v>0.35376157407407405</v>
      </c>
      <c r="G650" s="12">
        <v>0.76671296296296299</v>
      </c>
      <c r="H650" s="13">
        <v>9.9108333333333345</v>
      </c>
      <c r="I650" s="14">
        <v>9</v>
      </c>
      <c r="J650" s="15">
        <v>0.91083333333333449</v>
      </c>
      <c r="K650" s="17" t="s">
        <v>115</v>
      </c>
      <c r="P650" s="1"/>
      <c r="U650" s="1"/>
    </row>
    <row r="651" spans="1:21" x14ac:dyDescent="0.3">
      <c r="A651" s="11">
        <v>10002903</v>
      </c>
      <c r="B651" s="17" t="s">
        <v>23</v>
      </c>
      <c r="C651" s="18" t="s">
        <v>13</v>
      </c>
      <c r="D651" s="9">
        <v>46194</v>
      </c>
      <c r="E651" s="17" t="s">
        <v>113</v>
      </c>
      <c r="F651" s="12">
        <v>0.33657407407407408</v>
      </c>
      <c r="G651" s="12">
        <v>0.6868981481481482</v>
      </c>
      <c r="H651" s="13">
        <v>8.4077777777777793</v>
      </c>
      <c r="I651" s="14">
        <v>8.5</v>
      </c>
      <c r="J651" s="15">
        <v>-9.2222222222220651E-2</v>
      </c>
      <c r="K651" s="17" t="s">
        <v>112</v>
      </c>
      <c r="P651" s="1"/>
      <c r="U651" s="1"/>
    </row>
    <row r="652" spans="1:21" x14ac:dyDescent="0.3">
      <c r="A652" s="11">
        <v>10002903</v>
      </c>
      <c r="B652" s="17" t="s">
        <v>23</v>
      </c>
      <c r="C652" s="18" t="s">
        <v>13</v>
      </c>
      <c r="D652" s="9">
        <v>46195</v>
      </c>
      <c r="E652" s="17" t="s">
        <v>118</v>
      </c>
      <c r="F652" s="12">
        <v>0.33460648148148148</v>
      </c>
      <c r="G652" s="12">
        <v>0.69520833333333332</v>
      </c>
      <c r="H652" s="13">
        <v>8.6544444444444437</v>
      </c>
      <c r="I652" s="14">
        <v>8.5</v>
      </c>
      <c r="J652" s="15">
        <v>0.15444444444444372</v>
      </c>
      <c r="K652" s="17" t="s">
        <v>115</v>
      </c>
      <c r="P652" s="1"/>
      <c r="U652" s="1"/>
    </row>
    <row r="653" spans="1:21" x14ac:dyDescent="0.3">
      <c r="A653" s="11">
        <v>10002903</v>
      </c>
      <c r="B653" s="17" t="s">
        <v>23</v>
      </c>
      <c r="C653" s="18" t="s">
        <v>13</v>
      </c>
      <c r="D653" s="9">
        <v>46196</v>
      </c>
      <c r="E653" s="17" t="s">
        <v>119</v>
      </c>
      <c r="F653" s="12">
        <v>0.33800925925925923</v>
      </c>
      <c r="G653" s="12">
        <v>0.6997106481481481</v>
      </c>
      <c r="H653" s="13">
        <v>8.6808333333333323</v>
      </c>
      <c r="I653" s="14">
        <v>8.5</v>
      </c>
      <c r="J653" s="15">
        <v>0.18083333333333229</v>
      </c>
      <c r="K653" s="17" t="s">
        <v>115</v>
      </c>
      <c r="P653" s="1"/>
      <c r="U653" s="1"/>
    </row>
    <row r="654" spans="1:21" x14ac:dyDescent="0.3">
      <c r="A654" s="11">
        <v>10002903</v>
      </c>
      <c r="B654" s="17" t="s">
        <v>23</v>
      </c>
      <c r="C654" s="18" t="s">
        <v>13</v>
      </c>
      <c r="D654" s="9">
        <v>46197</v>
      </c>
      <c r="E654" s="17" t="s">
        <v>123</v>
      </c>
      <c r="F654" s="12">
        <v>0.33804398148148146</v>
      </c>
      <c r="G654" s="12">
        <v>0.69114583333333335</v>
      </c>
      <c r="H654" s="13">
        <v>8.4744444444444458</v>
      </c>
      <c r="I654" s="14">
        <v>8.5</v>
      </c>
      <c r="J654" s="15">
        <v>-2.5555555555554221E-2</v>
      </c>
      <c r="K654" s="17" t="s">
        <v>111</v>
      </c>
      <c r="P654" s="1"/>
      <c r="U654" s="1"/>
    </row>
    <row r="655" spans="1:21" x14ac:dyDescent="0.3">
      <c r="A655" s="11">
        <v>10002903</v>
      </c>
      <c r="B655" s="17" t="s">
        <v>23</v>
      </c>
      <c r="C655" s="18" t="s">
        <v>13</v>
      </c>
      <c r="D655" s="9">
        <v>46198</v>
      </c>
      <c r="E655" s="17" t="s">
        <v>124</v>
      </c>
      <c r="F655" s="12">
        <v>0.33895833333333331</v>
      </c>
      <c r="G655" s="12">
        <v>0.69398148148148153</v>
      </c>
      <c r="H655" s="13">
        <v>8.520555555555557</v>
      </c>
      <c r="I655" s="14">
        <v>8.5</v>
      </c>
      <c r="J655" s="15">
        <v>2.0555555555556992E-2</v>
      </c>
      <c r="K655" s="17" t="s">
        <v>115</v>
      </c>
      <c r="P655" s="1"/>
      <c r="U655" s="1"/>
    </row>
    <row r="656" spans="1:21" x14ac:dyDescent="0.3">
      <c r="A656" s="11">
        <v>10002903</v>
      </c>
      <c r="B656" s="17" t="s">
        <v>23</v>
      </c>
      <c r="C656" s="18" t="s">
        <v>13</v>
      </c>
      <c r="D656" s="9">
        <v>46199</v>
      </c>
      <c r="E656" s="17" t="s">
        <v>125</v>
      </c>
      <c r="F656" s="12">
        <v>0.34810185185185183</v>
      </c>
      <c r="G656" s="12">
        <v>0.48175925925925928</v>
      </c>
      <c r="H656" s="13">
        <v>3.2077777777777787</v>
      </c>
      <c r="I656" s="14">
        <v>3</v>
      </c>
      <c r="J656" s="15">
        <v>0.20777777777777873</v>
      </c>
      <c r="K656" s="17" t="s">
        <v>127</v>
      </c>
      <c r="P656" s="1"/>
      <c r="U656" s="1"/>
    </row>
    <row r="657" spans="1:21" x14ac:dyDescent="0.3">
      <c r="A657" s="11">
        <v>10002903</v>
      </c>
      <c r="B657" s="17" t="s">
        <v>23</v>
      </c>
      <c r="C657" s="18" t="s">
        <v>13</v>
      </c>
      <c r="D657" s="9">
        <v>46200</v>
      </c>
      <c r="E657" s="17" t="s">
        <v>126</v>
      </c>
      <c r="F657" s="12"/>
      <c r="G657" s="12"/>
      <c r="H657" s="13">
        <v>0</v>
      </c>
      <c r="I657" s="14">
        <v>0</v>
      </c>
      <c r="J657" s="15">
        <v>0</v>
      </c>
      <c r="K657" s="17" t="s">
        <v>116</v>
      </c>
      <c r="P657" s="1"/>
      <c r="U657" s="1"/>
    </row>
    <row r="658" spans="1:21" x14ac:dyDescent="0.3">
      <c r="A658" s="11">
        <v>10002903</v>
      </c>
      <c r="B658" s="17" t="s">
        <v>23</v>
      </c>
      <c r="C658" s="18" t="s">
        <v>13</v>
      </c>
      <c r="D658" s="9">
        <v>46201</v>
      </c>
      <c r="E658" s="17" t="s">
        <v>113</v>
      </c>
      <c r="F658" s="12">
        <v>0.33255787037037038</v>
      </c>
      <c r="G658" s="12">
        <v>0.69956018518518515</v>
      </c>
      <c r="H658" s="13">
        <v>8.8080555555555549</v>
      </c>
      <c r="I658" s="14">
        <v>8.5</v>
      </c>
      <c r="J658" s="15">
        <v>0.30805555555555486</v>
      </c>
      <c r="K658" s="17" t="s">
        <v>115</v>
      </c>
      <c r="P658" s="1"/>
      <c r="U658" s="1"/>
    </row>
    <row r="659" spans="1:21" x14ac:dyDescent="0.3">
      <c r="A659" s="11">
        <v>10002903</v>
      </c>
      <c r="B659" s="17" t="s">
        <v>23</v>
      </c>
      <c r="C659" s="18" t="s">
        <v>13</v>
      </c>
      <c r="D659" s="9">
        <v>46202</v>
      </c>
      <c r="E659" s="17" t="s">
        <v>118</v>
      </c>
      <c r="F659" s="12"/>
      <c r="G659" s="12"/>
      <c r="H659" s="13">
        <v>0</v>
      </c>
      <c r="I659" s="14">
        <v>8.5</v>
      </c>
      <c r="J659" s="15">
        <v>-8.5</v>
      </c>
      <c r="K659" s="17" t="s">
        <v>68</v>
      </c>
      <c r="P659" s="1"/>
      <c r="U659" s="1"/>
    </row>
    <row r="660" spans="1:21" x14ac:dyDescent="0.3">
      <c r="A660" s="11">
        <v>10002985</v>
      </c>
      <c r="B660" s="17" t="s">
        <v>65</v>
      </c>
      <c r="C660" s="18" t="s">
        <v>24</v>
      </c>
      <c r="D660" s="9">
        <v>46194</v>
      </c>
      <c r="E660" s="17" t="s">
        <v>113</v>
      </c>
      <c r="F660" s="12"/>
      <c r="G660" s="12"/>
      <c r="H660" s="13">
        <v>0</v>
      </c>
      <c r="I660" s="14">
        <v>0</v>
      </c>
      <c r="J660" s="15">
        <v>0</v>
      </c>
      <c r="K660" s="17" t="s">
        <v>116</v>
      </c>
      <c r="P660" s="1"/>
      <c r="U660" s="1"/>
    </row>
    <row r="661" spans="1:21" x14ac:dyDescent="0.3">
      <c r="A661" s="11">
        <v>10002985</v>
      </c>
      <c r="B661" s="17" t="s">
        <v>65</v>
      </c>
      <c r="C661" s="18" t="s">
        <v>24</v>
      </c>
      <c r="D661" s="9">
        <v>46195</v>
      </c>
      <c r="E661" s="17" t="s">
        <v>118</v>
      </c>
      <c r="F661" s="12"/>
      <c r="G661" s="12"/>
      <c r="H661" s="13">
        <v>0</v>
      </c>
      <c r="I661" s="14">
        <v>9</v>
      </c>
      <c r="J661" s="15">
        <v>-9</v>
      </c>
      <c r="K661" s="17" t="s">
        <v>68</v>
      </c>
      <c r="P661" s="1"/>
      <c r="U661" s="1"/>
    </row>
    <row r="662" spans="1:21" x14ac:dyDescent="0.3">
      <c r="A662" s="11">
        <v>10002985</v>
      </c>
      <c r="B662" s="17" t="s">
        <v>65</v>
      </c>
      <c r="C662" s="18" t="s">
        <v>24</v>
      </c>
      <c r="D662" s="9">
        <v>46196</v>
      </c>
      <c r="E662" s="17" t="s">
        <v>119</v>
      </c>
      <c r="F662" s="12"/>
      <c r="G662" s="12"/>
      <c r="H662" s="13">
        <v>0</v>
      </c>
      <c r="I662" s="14">
        <v>9</v>
      </c>
      <c r="J662" s="15">
        <v>-9</v>
      </c>
      <c r="K662" s="17" t="s">
        <v>68</v>
      </c>
      <c r="P662" s="1"/>
      <c r="U662" s="1"/>
    </row>
    <row r="663" spans="1:21" x14ac:dyDescent="0.3">
      <c r="A663" s="11">
        <v>10002985</v>
      </c>
      <c r="B663" s="17" t="s">
        <v>65</v>
      </c>
      <c r="C663" s="18" t="s">
        <v>24</v>
      </c>
      <c r="D663" s="9">
        <v>46197</v>
      </c>
      <c r="E663" s="17" t="s">
        <v>123</v>
      </c>
      <c r="F663" s="12"/>
      <c r="G663" s="12"/>
      <c r="H663" s="13">
        <v>0</v>
      </c>
      <c r="I663" s="14">
        <v>9</v>
      </c>
      <c r="J663" s="15">
        <v>-9</v>
      </c>
      <c r="K663" s="17" t="s">
        <v>68</v>
      </c>
      <c r="P663" s="1"/>
      <c r="U663" s="1"/>
    </row>
    <row r="664" spans="1:21" x14ac:dyDescent="0.3">
      <c r="A664" s="11">
        <v>10002985</v>
      </c>
      <c r="B664" s="17" t="s">
        <v>65</v>
      </c>
      <c r="C664" s="18" t="s">
        <v>24</v>
      </c>
      <c r="D664" s="9">
        <v>46198</v>
      </c>
      <c r="E664" s="17" t="s">
        <v>124</v>
      </c>
      <c r="F664" s="12"/>
      <c r="G664" s="12"/>
      <c r="H664" s="13">
        <v>0</v>
      </c>
      <c r="I664" s="14">
        <v>9</v>
      </c>
      <c r="J664" s="15">
        <v>-9</v>
      </c>
      <c r="K664" s="17" t="s">
        <v>68</v>
      </c>
      <c r="P664" s="1"/>
      <c r="U664" s="1"/>
    </row>
    <row r="665" spans="1:21" x14ac:dyDescent="0.3">
      <c r="A665" s="11">
        <v>10002985</v>
      </c>
      <c r="B665" s="17" t="s">
        <v>65</v>
      </c>
      <c r="C665" s="18" t="s">
        <v>24</v>
      </c>
      <c r="D665" s="9">
        <v>46199</v>
      </c>
      <c r="E665" s="17" t="s">
        <v>125</v>
      </c>
      <c r="F665" s="12"/>
      <c r="G665" s="12"/>
      <c r="H665" s="13">
        <v>0</v>
      </c>
      <c r="I665" s="14">
        <v>4</v>
      </c>
      <c r="J665" s="15">
        <v>-4</v>
      </c>
      <c r="K665" s="17" t="s">
        <v>68</v>
      </c>
      <c r="P665" s="1"/>
      <c r="U665" s="1"/>
    </row>
    <row r="666" spans="1:21" x14ac:dyDescent="0.3">
      <c r="A666" s="11">
        <v>10002985</v>
      </c>
      <c r="B666" s="17" t="s">
        <v>65</v>
      </c>
      <c r="C666" s="18" t="s">
        <v>24</v>
      </c>
      <c r="D666" s="9">
        <v>46200</v>
      </c>
      <c r="E666" s="17" t="s">
        <v>126</v>
      </c>
      <c r="F666" s="12"/>
      <c r="G666" s="12"/>
      <c r="H666" s="13">
        <v>0</v>
      </c>
      <c r="I666" s="14">
        <v>0</v>
      </c>
      <c r="J666" s="15">
        <v>0</v>
      </c>
      <c r="K666" s="17" t="s">
        <v>116</v>
      </c>
      <c r="P666" s="1"/>
      <c r="U666" s="1"/>
    </row>
    <row r="667" spans="1:21" x14ac:dyDescent="0.3">
      <c r="A667" s="11">
        <v>10002985</v>
      </c>
      <c r="B667" s="17" t="s">
        <v>65</v>
      </c>
      <c r="C667" s="18" t="s">
        <v>24</v>
      </c>
      <c r="D667" s="9">
        <v>46201</v>
      </c>
      <c r="E667" s="17" t="s">
        <v>113</v>
      </c>
      <c r="F667" s="12"/>
      <c r="G667" s="12"/>
      <c r="H667" s="13">
        <v>0</v>
      </c>
      <c r="I667" s="14">
        <v>0</v>
      </c>
      <c r="J667" s="15">
        <v>0</v>
      </c>
      <c r="K667" s="17" t="s">
        <v>116</v>
      </c>
      <c r="P667" s="1"/>
      <c r="U667" s="1"/>
    </row>
    <row r="668" spans="1:21" x14ac:dyDescent="0.3">
      <c r="A668" s="11">
        <v>10002985</v>
      </c>
      <c r="B668" s="17" t="s">
        <v>65</v>
      </c>
      <c r="C668" s="18" t="s">
        <v>24</v>
      </c>
      <c r="D668" s="9">
        <v>46202</v>
      </c>
      <c r="E668" s="17" t="s">
        <v>118</v>
      </c>
      <c r="F668" s="12"/>
      <c r="G668" s="12"/>
      <c r="H668" s="13">
        <v>0</v>
      </c>
      <c r="I668" s="14">
        <v>9</v>
      </c>
      <c r="J668" s="15">
        <v>-9</v>
      </c>
      <c r="K668" s="17" t="s">
        <v>68</v>
      </c>
      <c r="P668" s="1"/>
      <c r="U668" s="1"/>
    </row>
    <row r="669" spans="1:21" x14ac:dyDescent="0.3">
      <c r="A669" s="11">
        <v>10002987</v>
      </c>
      <c r="B669" s="17" t="s">
        <v>66</v>
      </c>
      <c r="C669" s="18" t="s">
        <v>11</v>
      </c>
      <c r="D669" s="9">
        <v>46194</v>
      </c>
      <c r="E669" s="17" t="s">
        <v>113</v>
      </c>
      <c r="F669" s="12">
        <v>0.4607060185185185</v>
      </c>
      <c r="G669" s="12">
        <v>0.81944444444444442</v>
      </c>
      <c r="H669" s="13">
        <v>8.6097222222222225</v>
      </c>
      <c r="I669" s="14">
        <v>0</v>
      </c>
      <c r="J669" s="15">
        <v>8.6097222222222225</v>
      </c>
      <c r="K669" s="17" t="s">
        <v>114</v>
      </c>
      <c r="P669" s="1"/>
      <c r="U669" s="1"/>
    </row>
    <row r="670" spans="1:21" x14ac:dyDescent="0.3">
      <c r="A670" s="11">
        <v>10002987</v>
      </c>
      <c r="B670" s="17" t="s">
        <v>66</v>
      </c>
      <c r="C670" s="18" t="s">
        <v>11</v>
      </c>
      <c r="D670" s="9">
        <v>46195</v>
      </c>
      <c r="E670" s="17" t="s">
        <v>118</v>
      </c>
      <c r="F670" s="12">
        <v>0.35439814814814813</v>
      </c>
      <c r="G670" s="12">
        <v>0.76627314814814818</v>
      </c>
      <c r="H670" s="13">
        <v>9.8850000000000016</v>
      </c>
      <c r="I670" s="14">
        <v>9</v>
      </c>
      <c r="J670" s="15">
        <v>0.88500000000000156</v>
      </c>
      <c r="K670" s="17" t="s">
        <v>115</v>
      </c>
      <c r="P670" s="1"/>
      <c r="U670" s="1"/>
    </row>
    <row r="671" spans="1:21" x14ac:dyDescent="0.3">
      <c r="A671" s="11">
        <v>10002987</v>
      </c>
      <c r="B671" s="17" t="s">
        <v>66</v>
      </c>
      <c r="C671" s="18" t="s">
        <v>11</v>
      </c>
      <c r="D671" s="9">
        <v>46196</v>
      </c>
      <c r="E671" s="17" t="s">
        <v>119</v>
      </c>
      <c r="F671" s="12">
        <v>0.35346064814814815</v>
      </c>
      <c r="G671" s="12">
        <v>0.79685185185185181</v>
      </c>
      <c r="H671" s="13">
        <v>10.641388888888887</v>
      </c>
      <c r="I671" s="14">
        <v>9</v>
      </c>
      <c r="J671" s="15">
        <v>1.641388888888887</v>
      </c>
      <c r="K671" s="17" t="s">
        <v>115</v>
      </c>
      <c r="P671" s="1"/>
      <c r="U671" s="1"/>
    </row>
    <row r="672" spans="1:21" x14ac:dyDescent="0.3">
      <c r="A672" s="11">
        <v>10002987</v>
      </c>
      <c r="B672" s="17" t="s">
        <v>66</v>
      </c>
      <c r="C672" s="18" t="s">
        <v>11</v>
      </c>
      <c r="D672" s="9">
        <v>46197</v>
      </c>
      <c r="E672" s="17" t="s">
        <v>123</v>
      </c>
      <c r="F672" s="12">
        <v>0.35298611111111111</v>
      </c>
      <c r="G672" s="12">
        <v>0.76815972222222217</v>
      </c>
      <c r="H672" s="13">
        <v>9.9641666666666655</v>
      </c>
      <c r="I672" s="14">
        <v>9</v>
      </c>
      <c r="J672" s="15">
        <v>0.96416666666666551</v>
      </c>
      <c r="K672" s="17" t="s">
        <v>115</v>
      </c>
      <c r="P672" s="1"/>
      <c r="U672" s="1"/>
    </row>
    <row r="673" spans="1:21" x14ac:dyDescent="0.3">
      <c r="A673" s="11">
        <v>10002987</v>
      </c>
      <c r="B673" s="17" t="s">
        <v>66</v>
      </c>
      <c r="C673" s="18" t="s">
        <v>11</v>
      </c>
      <c r="D673" s="9">
        <v>46198</v>
      </c>
      <c r="E673" s="17" t="s">
        <v>124</v>
      </c>
      <c r="F673" s="12">
        <v>0.36121527777777779</v>
      </c>
      <c r="G673" s="12">
        <v>0.76354166666666667</v>
      </c>
      <c r="H673" s="13">
        <v>9.6558333333333337</v>
      </c>
      <c r="I673" s="14">
        <v>9</v>
      </c>
      <c r="J673" s="15">
        <v>0.65583333333333371</v>
      </c>
      <c r="K673" s="17" t="s">
        <v>120</v>
      </c>
      <c r="P673" s="1"/>
      <c r="U673" s="1"/>
    </row>
    <row r="674" spans="1:21" x14ac:dyDescent="0.3">
      <c r="A674" s="11">
        <v>10002987</v>
      </c>
      <c r="B674" s="17" t="s">
        <v>66</v>
      </c>
      <c r="C674" s="18" t="s">
        <v>11</v>
      </c>
      <c r="D674" s="9">
        <v>46199</v>
      </c>
      <c r="E674" s="17" t="s">
        <v>125</v>
      </c>
      <c r="F674" s="12">
        <v>0.35190972222222222</v>
      </c>
      <c r="G674" s="12">
        <v>0.55093749999999997</v>
      </c>
      <c r="H674" s="13">
        <v>4.7766666666666655</v>
      </c>
      <c r="I674" s="14">
        <v>4</v>
      </c>
      <c r="J674" s="15">
        <v>0.77666666666666551</v>
      </c>
      <c r="K674" s="17" t="s">
        <v>115</v>
      </c>
      <c r="P674" s="1"/>
      <c r="U674" s="1"/>
    </row>
    <row r="675" spans="1:21" x14ac:dyDescent="0.3">
      <c r="A675" s="11">
        <v>10002987</v>
      </c>
      <c r="B675" s="17" t="s">
        <v>66</v>
      </c>
      <c r="C675" s="18" t="s">
        <v>11</v>
      </c>
      <c r="D675" s="9">
        <v>46200</v>
      </c>
      <c r="E675" s="17" t="s">
        <v>126</v>
      </c>
      <c r="F675" s="12"/>
      <c r="G675" s="12"/>
      <c r="H675" s="13">
        <v>0</v>
      </c>
      <c r="I675" s="14">
        <v>0</v>
      </c>
      <c r="J675" s="15">
        <v>0</v>
      </c>
      <c r="K675" s="17" t="s">
        <v>116</v>
      </c>
      <c r="P675" s="1"/>
      <c r="U675" s="1"/>
    </row>
    <row r="676" spans="1:21" x14ac:dyDescent="0.3">
      <c r="A676" s="11">
        <v>10002987</v>
      </c>
      <c r="B676" s="17" t="s">
        <v>66</v>
      </c>
      <c r="C676" s="18" t="s">
        <v>11</v>
      </c>
      <c r="D676" s="9">
        <v>46201</v>
      </c>
      <c r="E676" s="17" t="s">
        <v>113</v>
      </c>
      <c r="F676" s="12">
        <v>0.45224537037037038</v>
      </c>
      <c r="G676" s="12">
        <v>0.45224537037037038</v>
      </c>
      <c r="H676" s="13">
        <v>0</v>
      </c>
      <c r="I676" s="14">
        <v>0</v>
      </c>
      <c r="J676" s="15">
        <v>0</v>
      </c>
      <c r="K676" s="17" t="s">
        <v>114</v>
      </c>
      <c r="P676" s="1"/>
      <c r="U676" s="1"/>
    </row>
    <row r="677" spans="1:21" x14ac:dyDescent="0.3">
      <c r="A677" s="11">
        <v>10002987</v>
      </c>
      <c r="B677" s="17" t="s">
        <v>66</v>
      </c>
      <c r="C677" s="18" t="s">
        <v>11</v>
      </c>
      <c r="D677" s="9">
        <v>46202</v>
      </c>
      <c r="E677" s="17" t="s">
        <v>118</v>
      </c>
      <c r="F677" s="12">
        <v>0.35438657407407409</v>
      </c>
      <c r="G677" s="12">
        <v>0.76640046296296294</v>
      </c>
      <c r="H677" s="13">
        <v>9.8883333333333319</v>
      </c>
      <c r="I677" s="14">
        <v>9</v>
      </c>
      <c r="J677" s="15">
        <v>0.88833333333333186</v>
      </c>
      <c r="K677" s="17" t="s">
        <v>115</v>
      </c>
      <c r="P677" s="1"/>
      <c r="U677" s="1"/>
    </row>
    <row r="678" spans="1:21" x14ac:dyDescent="0.3">
      <c r="A678" s="11">
        <v>10003018</v>
      </c>
      <c r="B678" s="17" t="s">
        <v>69</v>
      </c>
      <c r="C678" s="18" t="s">
        <v>11</v>
      </c>
      <c r="D678" s="9">
        <v>46194</v>
      </c>
      <c r="E678" s="17" t="s">
        <v>113</v>
      </c>
      <c r="F678" s="12"/>
      <c r="G678" s="12"/>
      <c r="H678" s="13">
        <v>0</v>
      </c>
      <c r="I678" s="14">
        <v>0</v>
      </c>
      <c r="J678" s="15">
        <v>0</v>
      </c>
      <c r="K678" s="17" t="s">
        <v>116</v>
      </c>
      <c r="P678" s="1"/>
      <c r="U678" s="1"/>
    </row>
    <row r="679" spans="1:21" x14ac:dyDescent="0.3">
      <c r="A679" s="11">
        <v>10003018</v>
      </c>
      <c r="B679" s="17" t="s">
        <v>69</v>
      </c>
      <c r="C679" s="18" t="s">
        <v>11</v>
      </c>
      <c r="D679" s="9">
        <v>46195</v>
      </c>
      <c r="E679" s="17" t="s">
        <v>118</v>
      </c>
      <c r="F679" s="12">
        <v>0.35439814814814813</v>
      </c>
      <c r="G679" s="12">
        <v>0.7377083333333333</v>
      </c>
      <c r="H679" s="13">
        <v>9.1994444444444436</v>
      </c>
      <c r="I679" s="14">
        <v>9</v>
      </c>
      <c r="J679" s="15">
        <v>0.19944444444444365</v>
      </c>
      <c r="K679" s="17" t="s">
        <v>115</v>
      </c>
      <c r="P679" s="1"/>
      <c r="U679" s="1"/>
    </row>
    <row r="680" spans="1:21" x14ac:dyDescent="0.3">
      <c r="A680" s="11">
        <v>10003018</v>
      </c>
      <c r="B680" s="17" t="s">
        <v>69</v>
      </c>
      <c r="C680" s="18" t="s">
        <v>11</v>
      </c>
      <c r="D680" s="9">
        <v>46196</v>
      </c>
      <c r="E680" s="17" t="s">
        <v>119</v>
      </c>
      <c r="F680" s="12">
        <v>0.35281249999999997</v>
      </c>
      <c r="G680" s="12">
        <v>0.74251157407407409</v>
      </c>
      <c r="H680" s="13">
        <v>9.3527777777777779</v>
      </c>
      <c r="I680" s="14">
        <v>9</v>
      </c>
      <c r="J680" s="15">
        <v>0.35277777777777786</v>
      </c>
      <c r="K680" s="17" t="s">
        <v>115</v>
      </c>
      <c r="P680" s="1"/>
      <c r="U680" s="1"/>
    </row>
    <row r="681" spans="1:21" x14ac:dyDescent="0.3">
      <c r="A681" s="11">
        <v>10003018</v>
      </c>
      <c r="B681" s="17" t="s">
        <v>69</v>
      </c>
      <c r="C681" s="18" t="s">
        <v>11</v>
      </c>
      <c r="D681" s="9">
        <v>46197</v>
      </c>
      <c r="E681" s="17" t="s">
        <v>123</v>
      </c>
      <c r="F681" s="12">
        <v>0.35493055555555558</v>
      </c>
      <c r="G681" s="12">
        <v>0.74362268518518515</v>
      </c>
      <c r="H681" s="13">
        <v>9.3286111111111101</v>
      </c>
      <c r="I681" s="14">
        <v>9</v>
      </c>
      <c r="J681" s="15">
        <v>0.32861111111111008</v>
      </c>
      <c r="K681" s="17" t="s">
        <v>120</v>
      </c>
      <c r="P681" s="1"/>
      <c r="U681" s="1"/>
    </row>
    <row r="682" spans="1:21" x14ac:dyDescent="0.3">
      <c r="A682" s="11">
        <v>10003018</v>
      </c>
      <c r="B682" s="17" t="s">
        <v>69</v>
      </c>
      <c r="C682" s="18" t="s">
        <v>11</v>
      </c>
      <c r="D682" s="9">
        <v>46198</v>
      </c>
      <c r="E682" s="17" t="s">
        <v>124</v>
      </c>
      <c r="F682" s="12">
        <v>0.35248842592592594</v>
      </c>
      <c r="G682" s="12">
        <v>0.74648148148148152</v>
      </c>
      <c r="H682" s="13">
        <v>9.4558333333333344</v>
      </c>
      <c r="I682" s="14">
        <v>9</v>
      </c>
      <c r="J682" s="15">
        <v>0.45583333333333442</v>
      </c>
      <c r="K682" s="17" t="s">
        <v>115</v>
      </c>
      <c r="P682" s="1"/>
      <c r="U682" s="1"/>
    </row>
    <row r="683" spans="1:21" x14ac:dyDescent="0.3">
      <c r="A683" s="11">
        <v>10003018</v>
      </c>
      <c r="B683" s="17" t="s">
        <v>69</v>
      </c>
      <c r="C683" s="18" t="s">
        <v>11</v>
      </c>
      <c r="D683" s="9">
        <v>46199</v>
      </c>
      <c r="E683" s="17" t="s">
        <v>125</v>
      </c>
      <c r="F683" s="12">
        <v>0.35373842592592591</v>
      </c>
      <c r="G683" s="12">
        <v>0.53922453703703699</v>
      </c>
      <c r="H683" s="13">
        <v>4.4516666666666662</v>
      </c>
      <c r="I683" s="14">
        <v>4</v>
      </c>
      <c r="J683" s="15">
        <v>0.45166666666666622</v>
      </c>
      <c r="K683" s="17" t="s">
        <v>115</v>
      </c>
      <c r="P683" s="1"/>
      <c r="U683" s="1"/>
    </row>
    <row r="684" spans="1:21" x14ac:dyDescent="0.3">
      <c r="A684" s="11">
        <v>10003018</v>
      </c>
      <c r="B684" s="17" t="s">
        <v>69</v>
      </c>
      <c r="C684" s="18" t="s">
        <v>11</v>
      </c>
      <c r="D684" s="9">
        <v>46200</v>
      </c>
      <c r="E684" s="17" t="s">
        <v>126</v>
      </c>
      <c r="F684" s="12"/>
      <c r="G684" s="12"/>
      <c r="H684" s="13">
        <v>0</v>
      </c>
      <c r="I684" s="14">
        <v>0</v>
      </c>
      <c r="J684" s="15">
        <v>0</v>
      </c>
      <c r="K684" s="17" t="s">
        <v>116</v>
      </c>
      <c r="P684" s="1"/>
      <c r="U684" s="1"/>
    </row>
    <row r="685" spans="1:21" x14ac:dyDescent="0.3">
      <c r="A685" s="11">
        <v>10003018</v>
      </c>
      <c r="B685" s="17" t="s">
        <v>69</v>
      </c>
      <c r="C685" s="18" t="s">
        <v>11</v>
      </c>
      <c r="D685" s="9">
        <v>46201</v>
      </c>
      <c r="E685" s="17" t="s">
        <v>113</v>
      </c>
      <c r="F685" s="12"/>
      <c r="G685" s="12"/>
      <c r="H685" s="13">
        <v>0</v>
      </c>
      <c r="I685" s="14">
        <v>0</v>
      </c>
      <c r="J685" s="15">
        <v>0</v>
      </c>
      <c r="K685" s="17" t="s">
        <v>116</v>
      </c>
      <c r="P685" s="1"/>
      <c r="U685" s="1"/>
    </row>
    <row r="686" spans="1:21" x14ac:dyDescent="0.3">
      <c r="A686" s="11">
        <v>10003018</v>
      </c>
      <c r="B686" s="17" t="s">
        <v>69</v>
      </c>
      <c r="C686" s="18" t="s">
        <v>11</v>
      </c>
      <c r="D686" s="9">
        <v>46202</v>
      </c>
      <c r="E686" s="17" t="s">
        <v>118</v>
      </c>
      <c r="F686" s="12">
        <v>0.35372685185185188</v>
      </c>
      <c r="G686" s="12">
        <v>0.73153935185185182</v>
      </c>
      <c r="H686" s="13">
        <v>9.067499999999999</v>
      </c>
      <c r="I686" s="14">
        <v>9</v>
      </c>
      <c r="J686" s="15">
        <v>6.7499999999999005E-2</v>
      </c>
      <c r="K686" s="17" t="s">
        <v>115</v>
      </c>
      <c r="P686" s="1"/>
      <c r="U686" s="1"/>
    </row>
    <row r="687" spans="1:21" x14ac:dyDescent="0.3">
      <c r="A687" s="11">
        <v>10003053</v>
      </c>
      <c r="B687" s="17" t="s">
        <v>89</v>
      </c>
      <c r="C687" s="18" t="s">
        <v>11</v>
      </c>
      <c r="D687" s="9">
        <v>46194</v>
      </c>
      <c r="E687" s="17" t="s">
        <v>113</v>
      </c>
      <c r="F687" s="12"/>
      <c r="G687" s="12"/>
      <c r="H687" s="13">
        <v>0</v>
      </c>
      <c r="I687" s="14">
        <v>0</v>
      </c>
      <c r="J687" s="15">
        <v>0</v>
      </c>
      <c r="K687" s="17" t="s">
        <v>116</v>
      </c>
      <c r="P687" s="1"/>
      <c r="U687" s="1"/>
    </row>
    <row r="688" spans="1:21" x14ac:dyDescent="0.3">
      <c r="A688" s="11">
        <v>10003053</v>
      </c>
      <c r="B688" s="17" t="s">
        <v>89</v>
      </c>
      <c r="C688" s="18" t="s">
        <v>11</v>
      </c>
      <c r="D688" s="9">
        <v>46195</v>
      </c>
      <c r="E688" s="17" t="s">
        <v>118</v>
      </c>
      <c r="F688" s="12">
        <v>0.35385416666666669</v>
      </c>
      <c r="G688" s="12">
        <v>0.8722685185185185</v>
      </c>
      <c r="H688" s="13">
        <v>12.441944444444443</v>
      </c>
      <c r="I688" s="14">
        <v>9</v>
      </c>
      <c r="J688" s="15">
        <v>3.4419444444444434</v>
      </c>
      <c r="K688" s="17" t="s">
        <v>115</v>
      </c>
      <c r="P688" s="1"/>
      <c r="U688" s="1"/>
    </row>
    <row r="689" spans="1:21" x14ac:dyDescent="0.3">
      <c r="A689" s="11">
        <v>10003053</v>
      </c>
      <c r="B689" s="17" t="s">
        <v>89</v>
      </c>
      <c r="C689" s="18" t="s">
        <v>11</v>
      </c>
      <c r="D689" s="9">
        <v>46196</v>
      </c>
      <c r="E689" s="17" t="s">
        <v>119</v>
      </c>
      <c r="F689" s="12">
        <v>0.34644675925925927</v>
      </c>
      <c r="G689" s="12">
        <v>0.95810185185185182</v>
      </c>
      <c r="H689" s="13">
        <v>14.679722222222221</v>
      </c>
      <c r="I689" s="14">
        <v>9</v>
      </c>
      <c r="J689" s="15">
        <v>5.679722222222221</v>
      </c>
      <c r="K689" s="17" t="s">
        <v>115</v>
      </c>
      <c r="P689" s="1"/>
      <c r="U689" s="1"/>
    </row>
    <row r="690" spans="1:21" x14ac:dyDescent="0.3">
      <c r="A690" s="11">
        <v>10003053</v>
      </c>
      <c r="B690" s="17" t="s">
        <v>89</v>
      </c>
      <c r="C690" s="18" t="s">
        <v>11</v>
      </c>
      <c r="D690" s="9">
        <v>46197</v>
      </c>
      <c r="E690" s="17" t="s">
        <v>123</v>
      </c>
      <c r="F690" s="12">
        <v>0.33678240740740739</v>
      </c>
      <c r="G690" s="12">
        <v>0.81252314814814819</v>
      </c>
      <c r="H690" s="13">
        <v>11.417777777777779</v>
      </c>
      <c r="I690" s="14">
        <v>9</v>
      </c>
      <c r="J690" s="15">
        <v>2.4177777777777791</v>
      </c>
      <c r="K690" s="17" t="s">
        <v>115</v>
      </c>
      <c r="P690" s="1"/>
      <c r="U690" s="1"/>
    </row>
    <row r="691" spans="1:21" x14ac:dyDescent="0.3">
      <c r="A691" s="11">
        <v>10003053</v>
      </c>
      <c r="B691" s="17" t="s">
        <v>89</v>
      </c>
      <c r="C691" s="18" t="s">
        <v>11</v>
      </c>
      <c r="D691" s="9">
        <v>46198</v>
      </c>
      <c r="E691" s="17" t="s">
        <v>124</v>
      </c>
      <c r="F691" s="12">
        <v>0.35442129629629632</v>
      </c>
      <c r="G691" s="12">
        <v>0.76041666666666663</v>
      </c>
      <c r="H691" s="13">
        <v>9.7438888888888879</v>
      </c>
      <c r="I691" s="14">
        <v>9</v>
      </c>
      <c r="J691" s="15">
        <v>0.74388888888888793</v>
      </c>
      <c r="K691" s="17" t="s">
        <v>115</v>
      </c>
      <c r="P691" s="1"/>
      <c r="U691" s="1"/>
    </row>
    <row r="692" spans="1:21" x14ac:dyDescent="0.3">
      <c r="A692" s="11">
        <v>10003053</v>
      </c>
      <c r="B692" s="17" t="s">
        <v>89</v>
      </c>
      <c r="C692" s="18" t="s">
        <v>11</v>
      </c>
      <c r="D692" s="9">
        <v>46199</v>
      </c>
      <c r="E692" s="17" t="s">
        <v>125</v>
      </c>
      <c r="F692" s="12">
        <v>0.35542824074074075</v>
      </c>
      <c r="G692" s="12">
        <v>0.70146990740740744</v>
      </c>
      <c r="H692" s="13">
        <v>8.3049999999999997</v>
      </c>
      <c r="I692" s="14">
        <v>4</v>
      </c>
      <c r="J692" s="15">
        <v>4.3049999999999997</v>
      </c>
      <c r="K692" s="17" t="s">
        <v>120</v>
      </c>
      <c r="P692" s="1"/>
      <c r="U692" s="1"/>
    </row>
    <row r="693" spans="1:21" x14ac:dyDescent="0.3">
      <c r="A693" s="11">
        <v>10003053</v>
      </c>
      <c r="B693" s="17" t="s">
        <v>89</v>
      </c>
      <c r="C693" s="18" t="s">
        <v>11</v>
      </c>
      <c r="D693" s="9">
        <v>46200</v>
      </c>
      <c r="E693" s="17" t="s">
        <v>126</v>
      </c>
      <c r="F693" s="12"/>
      <c r="G693" s="12"/>
      <c r="H693" s="13">
        <v>0</v>
      </c>
      <c r="I693" s="14">
        <v>0</v>
      </c>
      <c r="J693" s="15">
        <v>0</v>
      </c>
      <c r="K693" s="17" t="s">
        <v>116</v>
      </c>
      <c r="P693" s="1"/>
      <c r="U693" s="1"/>
    </row>
    <row r="694" spans="1:21" x14ac:dyDescent="0.3">
      <c r="A694" s="11">
        <v>10003053</v>
      </c>
      <c r="B694" s="17" t="s">
        <v>89</v>
      </c>
      <c r="C694" s="18" t="s">
        <v>11</v>
      </c>
      <c r="D694" s="9">
        <v>46201</v>
      </c>
      <c r="E694" s="17" t="s">
        <v>113</v>
      </c>
      <c r="F694" s="12"/>
      <c r="G694" s="12"/>
      <c r="H694" s="13">
        <v>0</v>
      </c>
      <c r="I694" s="14">
        <v>0</v>
      </c>
      <c r="J694" s="15">
        <v>0</v>
      </c>
      <c r="K694" s="17" t="s">
        <v>116</v>
      </c>
      <c r="P694" s="1"/>
      <c r="U694" s="1"/>
    </row>
    <row r="695" spans="1:21" x14ac:dyDescent="0.3">
      <c r="A695" s="11">
        <v>10003053</v>
      </c>
      <c r="B695" s="17" t="s">
        <v>89</v>
      </c>
      <c r="C695" s="18" t="s">
        <v>11</v>
      </c>
      <c r="D695" s="9">
        <v>46202</v>
      </c>
      <c r="E695" s="17" t="s">
        <v>118</v>
      </c>
      <c r="F695" s="12"/>
      <c r="G695" s="12"/>
      <c r="H695" s="13">
        <v>0</v>
      </c>
      <c r="I695" s="14">
        <v>9</v>
      </c>
      <c r="J695" s="15">
        <v>-9</v>
      </c>
      <c r="K695" s="17" t="s">
        <v>68</v>
      </c>
      <c r="P695" s="1"/>
      <c r="U695" s="1"/>
    </row>
    <row r="696" spans="1:21" x14ac:dyDescent="0.3">
      <c r="A696" s="11">
        <v>10003061</v>
      </c>
      <c r="B696" s="17" t="s">
        <v>93</v>
      </c>
      <c r="C696" s="18" t="s">
        <v>13</v>
      </c>
      <c r="D696" s="9">
        <v>46194</v>
      </c>
      <c r="E696" s="17" t="s">
        <v>113</v>
      </c>
      <c r="F696" s="12"/>
      <c r="G696" s="12"/>
      <c r="H696" s="13">
        <v>0</v>
      </c>
      <c r="I696" s="14">
        <v>8.5</v>
      </c>
      <c r="J696" s="15">
        <v>-8.5</v>
      </c>
      <c r="K696" s="17" t="s">
        <v>68</v>
      </c>
      <c r="P696" s="1"/>
      <c r="U696" s="1"/>
    </row>
    <row r="697" spans="1:21" x14ac:dyDescent="0.3">
      <c r="A697" s="11">
        <v>10003061</v>
      </c>
      <c r="B697" s="17" t="s">
        <v>93</v>
      </c>
      <c r="C697" s="18" t="s">
        <v>13</v>
      </c>
      <c r="D697" s="9">
        <v>46195</v>
      </c>
      <c r="E697" s="17" t="s">
        <v>118</v>
      </c>
      <c r="F697" s="12">
        <v>0.3420138888888889</v>
      </c>
      <c r="G697" s="12">
        <v>0.72733796296296294</v>
      </c>
      <c r="H697" s="13">
        <v>9.2477777777777774</v>
      </c>
      <c r="I697" s="14">
        <v>8.5</v>
      </c>
      <c r="J697" s="15">
        <v>0.74777777777777743</v>
      </c>
      <c r="K697" s="17" t="s">
        <v>115</v>
      </c>
      <c r="P697" s="1"/>
      <c r="U697" s="1"/>
    </row>
    <row r="698" spans="1:21" x14ac:dyDescent="0.3">
      <c r="A698" s="11">
        <v>10003061</v>
      </c>
      <c r="B698" s="17" t="s">
        <v>93</v>
      </c>
      <c r="C698" s="18" t="s">
        <v>13</v>
      </c>
      <c r="D698" s="9">
        <v>46196</v>
      </c>
      <c r="E698" s="17" t="s">
        <v>119</v>
      </c>
      <c r="F698" s="12">
        <v>0.34424768518518517</v>
      </c>
      <c r="G698" s="12">
        <v>0.34424768518518517</v>
      </c>
      <c r="H698" s="13">
        <v>0</v>
      </c>
      <c r="I698" s="14">
        <v>8.5</v>
      </c>
      <c r="J698" s="15">
        <v>-8.5</v>
      </c>
      <c r="K698" s="17" t="s">
        <v>67</v>
      </c>
      <c r="P698" s="1"/>
      <c r="U698" s="1"/>
    </row>
    <row r="699" spans="1:21" x14ac:dyDescent="0.3">
      <c r="A699" s="11">
        <v>10003061</v>
      </c>
      <c r="B699" s="17" t="s">
        <v>93</v>
      </c>
      <c r="C699" s="18" t="s">
        <v>13</v>
      </c>
      <c r="D699" s="9">
        <v>46197</v>
      </c>
      <c r="E699" s="17" t="s">
        <v>123</v>
      </c>
      <c r="F699" s="12">
        <v>0.71440972222222221</v>
      </c>
      <c r="G699" s="12">
        <v>0.72600694444444447</v>
      </c>
      <c r="H699" s="13">
        <v>0.27833333333333421</v>
      </c>
      <c r="I699" s="14">
        <v>8.5</v>
      </c>
      <c r="J699" s="15">
        <v>-8.2216666666666658</v>
      </c>
      <c r="K699" s="17" t="s">
        <v>121</v>
      </c>
      <c r="P699" s="1"/>
      <c r="U699" s="1"/>
    </row>
    <row r="700" spans="1:21" x14ac:dyDescent="0.3">
      <c r="A700" s="11">
        <v>10003061</v>
      </c>
      <c r="B700" s="17" t="s">
        <v>93</v>
      </c>
      <c r="C700" s="18" t="s">
        <v>13</v>
      </c>
      <c r="D700" s="9">
        <v>46198</v>
      </c>
      <c r="E700" s="17" t="s">
        <v>124</v>
      </c>
      <c r="F700" s="12">
        <v>0.34423611111111113</v>
      </c>
      <c r="G700" s="12">
        <v>0.34423611111111113</v>
      </c>
      <c r="H700" s="13">
        <v>0</v>
      </c>
      <c r="I700" s="14">
        <v>8.5</v>
      </c>
      <c r="J700" s="15">
        <v>-8.5</v>
      </c>
      <c r="K700" s="17" t="s">
        <v>67</v>
      </c>
      <c r="P700" s="1"/>
      <c r="U700" s="1"/>
    </row>
    <row r="701" spans="1:21" x14ac:dyDescent="0.3">
      <c r="A701" s="11">
        <v>10003061</v>
      </c>
      <c r="B701" s="17" t="s">
        <v>93</v>
      </c>
      <c r="C701" s="18" t="s">
        <v>13</v>
      </c>
      <c r="D701" s="9">
        <v>46199</v>
      </c>
      <c r="E701" s="17" t="s">
        <v>125</v>
      </c>
      <c r="F701" s="12">
        <v>0.36896990740740743</v>
      </c>
      <c r="G701" s="12">
        <v>0.60517361111111112</v>
      </c>
      <c r="H701" s="13">
        <v>5.6688888888888886</v>
      </c>
      <c r="I701" s="14">
        <v>3</v>
      </c>
      <c r="J701" s="15">
        <v>2.6688888888888886</v>
      </c>
      <c r="K701" s="17" t="s">
        <v>115</v>
      </c>
      <c r="P701" s="1"/>
      <c r="U701" s="1"/>
    </row>
    <row r="702" spans="1:21" x14ac:dyDescent="0.3">
      <c r="A702" s="11">
        <v>10003061</v>
      </c>
      <c r="B702" s="17" t="s">
        <v>93</v>
      </c>
      <c r="C702" s="18" t="s">
        <v>13</v>
      </c>
      <c r="D702" s="9">
        <v>46200</v>
      </c>
      <c r="E702" s="17" t="s">
        <v>126</v>
      </c>
      <c r="F702" s="12"/>
      <c r="G702" s="12"/>
      <c r="H702" s="13">
        <v>0</v>
      </c>
      <c r="I702" s="14">
        <v>0</v>
      </c>
      <c r="J702" s="15">
        <v>0</v>
      </c>
      <c r="K702" s="17" t="s">
        <v>116</v>
      </c>
      <c r="P702" s="1"/>
      <c r="U702" s="1"/>
    </row>
    <row r="703" spans="1:21" x14ac:dyDescent="0.3">
      <c r="A703" s="11">
        <v>10003061</v>
      </c>
      <c r="B703" s="17" t="s">
        <v>93</v>
      </c>
      <c r="C703" s="18" t="s">
        <v>13</v>
      </c>
      <c r="D703" s="9">
        <v>46201</v>
      </c>
      <c r="E703" s="17" t="s">
        <v>113</v>
      </c>
      <c r="F703" s="12">
        <v>0.35921296296296296</v>
      </c>
      <c r="G703" s="12">
        <v>0.35921296296296296</v>
      </c>
      <c r="H703" s="13">
        <v>0</v>
      </c>
      <c r="I703" s="14">
        <v>8.5</v>
      </c>
      <c r="J703" s="15">
        <v>-8.5</v>
      </c>
      <c r="K703" s="17" t="s">
        <v>67</v>
      </c>
      <c r="P703" s="1"/>
      <c r="U703" s="1"/>
    </row>
    <row r="704" spans="1:21" x14ac:dyDescent="0.3">
      <c r="A704" s="11">
        <v>10003061</v>
      </c>
      <c r="B704" s="17" t="s">
        <v>93</v>
      </c>
      <c r="C704" s="18" t="s">
        <v>13</v>
      </c>
      <c r="D704" s="9">
        <v>46202</v>
      </c>
      <c r="E704" s="17" t="s">
        <v>118</v>
      </c>
      <c r="F704" s="12">
        <v>0.35938657407407409</v>
      </c>
      <c r="G704" s="12">
        <v>0.35938657407407409</v>
      </c>
      <c r="H704" s="13">
        <v>0</v>
      </c>
      <c r="I704" s="14">
        <v>8.5</v>
      </c>
      <c r="J704" s="15">
        <v>-8.5</v>
      </c>
      <c r="K704" s="17" t="s">
        <v>67</v>
      </c>
      <c r="P704" s="1"/>
      <c r="U704" s="1"/>
    </row>
    <row r="705" spans="1:21" x14ac:dyDescent="0.3">
      <c r="A705" s="11">
        <v>10003097</v>
      </c>
      <c r="B705" s="17" t="s">
        <v>90</v>
      </c>
      <c r="C705" s="18" t="s">
        <v>11</v>
      </c>
      <c r="D705" s="9">
        <v>46194</v>
      </c>
      <c r="E705" s="17" t="s">
        <v>113</v>
      </c>
      <c r="F705" s="12"/>
      <c r="G705" s="12"/>
      <c r="H705" s="13">
        <v>0</v>
      </c>
      <c r="I705" s="14">
        <v>0</v>
      </c>
      <c r="J705" s="15">
        <v>0</v>
      </c>
      <c r="K705" s="17" t="s">
        <v>116</v>
      </c>
      <c r="P705" s="1"/>
      <c r="U705" s="1"/>
    </row>
    <row r="706" spans="1:21" x14ac:dyDescent="0.3">
      <c r="A706" s="11">
        <v>10003097</v>
      </c>
      <c r="B706" s="17" t="s">
        <v>90</v>
      </c>
      <c r="C706" s="18" t="s">
        <v>11</v>
      </c>
      <c r="D706" s="9">
        <v>46195</v>
      </c>
      <c r="E706" s="17" t="s">
        <v>118</v>
      </c>
      <c r="F706" s="12">
        <v>0.34552083333333333</v>
      </c>
      <c r="G706" s="12">
        <v>0.7377893518518519</v>
      </c>
      <c r="H706" s="13">
        <v>9.4144444444444453</v>
      </c>
      <c r="I706" s="14">
        <v>9</v>
      </c>
      <c r="J706" s="15">
        <v>0.41444444444444528</v>
      </c>
      <c r="K706" s="17" t="s">
        <v>115</v>
      </c>
      <c r="P706" s="1"/>
      <c r="U706" s="1"/>
    </row>
    <row r="707" spans="1:21" x14ac:dyDescent="0.3">
      <c r="A707" s="11">
        <v>10003097</v>
      </c>
      <c r="B707" s="17" t="s">
        <v>90</v>
      </c>
      <c r="C707" s="18" t="s">
        <v>11</v>
      </c>
      <c r="D707" s="9">
        <v>46196</v>
      </c>
      <c r="E707" s="17" t="s">
        <v>119</v>
      </c>
      <c r="F707" s="12">
        <v>0.35222222222222221</v>
      </c>
      <c r="G707" s="12">
        <v>0.73771990740740745</v>
      </c>
      <c r="H707" s="13">
        <v>9.2519444444444456</v>
      </c>
      <c r="I707" s="14">
        <v>9</v>
      </c>
      <c r="J707" s="15">
        <v>0.25194444444444564</v>
      </c>
      <c r="K707" s="17" t="s">
        <v>115</v>
      </c>
      <c r="P707" s="1"/>
      <c r="U707" s="1"/>
    </row>
    <row r="708" spans="1:21" x14ac:dyDescent="0.3">
      <c r="A708" s="11">
        <v>10003097</v>
      </c>
      <c r="B708" s="17" t="s">
        <v>90</v>
      </c>
      <c r="C708" s="18" t="s">
        <v>11</v>
      </c>
      <c r="D708" s="9">
        <v>46197</v>
      </c>
      <c r="E708" s="17" t="s">
        <v>123</v>
      </c>
      <c r="F708" s="12">
        <v>0.3505787037037037</v>
      </c>
      <c r="G708" s="12">
        <v>0.74572916666666667</v>
      </c>
      <c r="H708" s="13">
        <v>9.4836111111111112</v>
      </c>
      <c r="I708" s="14">
        <v>9</v>
      </c>
      <c r="J708" s="15">
        <v>0.48361111111111121</v>
      </c>
      <c r="K708" s="17" t="s">
        <v>115</v>
      </c>
      <c r="P708" s="1"/>
      <c r="U708" s="1"/>
    </row>
    <row r="709" spans="1:21" x14ac:dyDescent="0.3">
      <c r="A709" s="11">
        <v>10003097</v>
      </c>
      <c r="B709" s="17" t="s">
        <v>90</v>
      </c>
      <c r="C709" s="18" t="s">
        <v>11</v>
      </c>
      <c r="D709" s="9">
        <v>46198</v>
      </c>
      <c r="E709" s="17" t="s">
        <v>124</v>
      </c>
      <c r="F709" s="12">
        <v>0.35408564814814814</v>
      </c>
      <c r="G709" s="12">
        <v>0.35408564814814814</v>
      </c>
      <c r="H709" s="13">
        <v>0</v>
      </c>
      <c r="I709" s="14">
        <v>9</v>
      </c>
      <c r="J709" s="15">
        <v>-9</v>
      </c>
      <c r="K709" s="17" t="s">
        <v>67</v>
      </c>
      <c r="P709" s="1"/>
      <c r="U709" s="1"/>
    </row>
    <row r="710" spans="1:21" x14ac:dyDescent="0.3">
      <c r="A710" s="11">
        <v>10003097</v>
      </c>
      <c r="B710" s="17" t="s">
        <v>90</v>
      </c>
      <c r="C710" s="18" t="s">
        <v>11</v>
      </c>
      <c r="D710" s="9">
        <v>46199</v>
      </c>
      <c r="E710" s="17" t="s">
        <v>125</v>
      </c>
      <c r="F710" s="12">
        <v>0.3417013888888889</v>
      </c>
      <c r="G710" s="12">
        <v>0.3417013888888889</v>
      </c>
      <c r="H710" s="13">
        <v>0</v>
      </c>
      <c r="I710" s="14">
        <v>4</v>
      </c>
      <c r="J710" s="15">
        <v>-4</v>
      </c>
      <c r="K710" s="17" t="s">
        <v>67</v>
      </c>
      <c r="P710" s="1"/>
      <c r="U710" s="1"/>
    </row>
    <row r="711" spans="1:21" x14ac:dyDescent="0.3">
      <c r="A711" s="11">
        <v>10003097</v>
      </c>
      <c r="B711" s="17" t="s">
        <v>90</v>
      </c>
      <c r="C711" s="18" t="s">
        <v>11</v>
      </c>
      <c r="D711" s="9">
        <v>46200</v>
      </c>
      <c r="E711" s="17" t="s">
        <v>126</v>
      </c>
      <c r="F711" s="12"/>
      <c r="G711" s="12"/>
      <c r="H711" s="13">
        <v>0</v>
      </c>
      <c r="I711" s="14">
        <v>0</v>
      </c>
      <c r="J711" s="15">
        <v>0</v>
      </c>
      <c r="K711" s="17" t="s">
        <v>116</v>
      </c>
      <c r="P711" s="1"/>
      <c r="U711" s="1"/>
    </row>
    <row r="712" spans="1:21" x14ac:dyDescent="0.3">
      <c r="A712" s="11">
        <v>10003097</v>
      </c>
      <c r="B712" s="17" t="s">
        <v>90</v>
      </c>
      <c r="C712" s="18" t="s">
        <v>11</v>
      </c>
      <c r="D712" s="9">
        <v>46201</v>
      </c>
      <c r="E712" s="17" t="s">
        <v>113</v>
      </c>
      <c r="F712" s="12"/>
      <c r="G712" s="12"/>
      <c r="H712" s="13">
        <v>0</v>
      </c>
      <c r="I712" s="14">
        <v>0</v>
      </c>
      <c r="J712" s="15">
        <v>0</v>
      </c>
      <c r="K712" s="17" t="s">
        <v>116</v>
      </c>
      <c r="P712" s="1"/>
      <c r="U712" s="1"/>
    </row>
    <row r="713" spans="1:21" x14ac:dyDescent="0.3">
      <c r="A713" s="11">
        <v>10003097</v>
      </c>
      <c r="B713" s="17" t="s">
        <v>90</v>
      </c>
      <c r="C713" s="18" t="s">
        <v>11</v>
      </c>
      <c r="D713" s="9">
        <v>46202</v>
      </c>
      <c r="E713" s="17" t="s">
        <v>118</v>
      </c>
      <c r="F713" s="12">
        <v>0.34870370370370368</v>
      </c>
      <c r="G713" s="12">
        <v>0.73178240740740741</v>
      </c>
      <c r="H713" s="13">
        <v>9.193888888888889</v>
      </c>
      <c r="I713" s="14">
        <v>9</v>
      </c>
      <c r="J713" s="15">
        <v>0.193888888888889</v>
      </c>
      <c r="K713" s="17" t="s">
        <v>115</v>
      </c>
      <c r="P713" s="1"/>
      <c r="U713" s="1"/>
    </row>
    <row r="714" spans="1:21" x14ac:dyDescent="0.3">
      <c r="A714" s="11">
        <v>10003106</v>
      </c>
      <c r="B714" s="17" t="s">
        <v>91</v>
      </c>
      <c r="C714" s="18" t="s">
        <v>13</v>
      </c>
      <c r="D714" s="9">
        <v>46194</v>
      </c>
      <c r="E714" s="17" t="s">
        <v>113</v>
      </c>
      <c r="F714" s="12"/>
      <c r="G714" s="12"/>
      <c r="H714" s="13">
        <v>0</v>
      </c>
      <c r="I714" s="14">
        <v>8.5</v>
      </c>
      <c r="J714" s="15">
        <v>-8.5</v>
      </c>
      <c r="K714" s="17" t="s">
        <v>68</v>
      </c>
      <c r="P714" s="1"/>
      <c r="U714" s="1"/>
    </row>
    <row r="715" spans="1:21" x14ac:dyDescent="0.3">
      <c r="A715" s="11">
        <v>10003106</v>
      </c>
      <c r="B715" s="17" t="s">
        <v>91</v>
      </c>
      <c r="C715" s="18" t="s">
        <v>13</v>
      </c>
      <c r="D715" s="9">
        <v>46195</v>
      </c>
      <c r="E715" s="17" t="s">
        <v>118</v>
      </c>
      <c r="F715" s="12"/>
      <c r="G715" s="12"/>
      <c r="H715" s="13">
        <v>0</v>
      </c>
      <c r="I715" s="14">
        <v>8.5</v>
      </c>
      <c r="J715" s="15">
        <v>-8.5</v>
      </c>
      <c r="K715" s="17" t="s">
        <v>68</v>
      </c>
      <c r="P715" s="1"/>
      <c r="U715" s="1"/>
    </row>
    <row r="716" spans="1:21" x14ac:dyDescent="0.3">
      <c r="A716" s="11">
        <v>10003106</v>
      </c>
      <c r="B716" s="17" t="s">
        <v>91</v>
      </c>
      <c r="C716" s="18" t="s">
        <v>13</v>
      </c>
      <c r="D716" s="9">
        <v>46196</v>
      </c>
      <c r="E716" s="17" t="s">
        <v>119</v>
      </c>
      <c r="F716" s="12"/>
      <c r="G716" s="12"/>
      <c r="H716" s="13">
        <v>0</v>
      </c>
      <c r="I716" s="14">
        <v>8.5</v>
      </c>
      <c r="J716" s="15">
        <v>-8.5</v>
      </c>
      <c r="K716" s="17" t="s">
        <v>68</v>
      </c>
      <c r="P716" s="1"/>
      <c r="U716" s="1"/>
    </row>
    <row r="717" spans="1:21" x14ac:dyDescent="0.3">
      <c r="A717" s="11">
        <v>10003106</v>
      </c>
      <c r="B717" s="17" t="s">
        <v>91</v>
      </c>
      <c r="C717" s="18" t="s">
        <v>13</v>
      </c>
      <c r="D717" s="9">
        <v>46197</v>
      </c>
      <c r="E717" s="17" t="s">
        <v>123</v>
      </c>
      <c r="F717" s="12"/>
      <c r="G717" s="12"/>
      <c r="H717" s="13">
        <v>0</v>
      </c>
      <c r="I717" s="14">
        <v>8.5</v>
      </c>
      <c r="J717" s="15">
        <v>-8.5</v>
      </c>
      <c r="K717" s="17" t="s">
        <v>68</v>
      </c>
      <c r="P717" s="1"/>
      <c r="U717" s="1"/>
    </row>
    <row r="718" spans="1:21" x14ac:dyDescent="0.3">
      <c r="A718" s="11">
        <v>10003106</v>
      </c>
      <c r="B718" s="17" t="s">
        <v>91</v>
      </c>
      <c r="C718" s="18" t="s">
        <v>13</v>
      </c>
      <c r="D718" s="9">
        <v>46198</v>
      </c>
      <c r="E718" s="17" t="s">
        <v>124</v>
      </c>
      <c r="F718" s="12"/>
      <c r="G718" s="12"/>
      <c r="H718" s="13">
        <v>0</v>
      </c>
      <c r="I718" s="14">
        <v>8.5</v>
      </c>
      <c r="J718" s="15">
        <v>-8.5</v>
      </c>
      <c r="K718" s="17" t="s">
        <v>68</v>
      </c>
      <c r="P718" s="1"/>
      <c r="U718" s="1"/>
    </row>
    <row r="719" spans="1:21" x14ac:dyDescent="0.3">
      <c r="A719" s="11">
        <v>10003106</v>
      </c>
      <c r="B719" s="17" t="s">
        <v>91</v>
      </c>
      <c r="C719" s="18" t="s">
        <v>13</v>
      </c>
      <c r="D719" s="9">
        <v>46199</v>
      </c>
      <c r="E719" s="17" t="s">
        <v>125</v>
      </c>
      <c r="F719" s="12"/>
      <c r="G719" s="12"/>
      <c r="H719" s="13">
        <v>0</v>
      </c>
      <c r="I719" s="14">
        <v>3</v>
      </c>
      <c r="J719" s="15">
        <v>-3</v>
      </c>
      <c r="K719" s="17" t="s">
        <v>68</v>
      </c>
      <c r="P719" s="1"/>
      <c r="U719" s="1"/>
    </row>
    <row r="720" spans="1:21" x14ac:dyDescent="0.3">
      <c r="A720" s="11">
        <v>10003106</v>
      </c>
      <c r="B720" s="17" t="s">
        <v>91</v>
      </c>
      <c r="C720" s="18" t="s">
        <v>13</v>
      </c>
      <c r="D720" s="9">
        <v>46200</v>
      </c>
      <c r="E720" s="17" t="s">
        <v>126</v>
      </c>
      <c r="F720" s="12"/>
      <c r="G720" s="12"/>
      <c r="H720" s="13">
        <v>0</v>
      </c>
      <c r="I720" s="14">
        <v>0</v>
      </c>
      <c r="J720" s="15">
        <v>0</v>
      </c>
      <c r="K720" s="17" t="s">
        <v>116</v>
      </c>
      <c r="P720" s="1"/>
      <c r="U720" s="1"/>
    </row>
    <row r="721" spans="1:21" x14ac:dyDescent="0.3">
      <c r="A721" s="11">
        <v>10003106</v>
      </c>
      <c r="B721" s="17" t="s">
        <v>91</v>
      </c>
      <c r="C721" s="18" t="s">
        <v>13</v>
      </c>
      <c r="D721" s="9">
        <v>46201</v>
      </c>
      <c r="E721" s="17" t="s">
        <v>113</v>
      </c>
      <c r="F721" s="12"/>
      <c r="G721" s="12"/>
      <c r="H721" s="13">
        <v>0</v>
      </c>
      <c r="I721" s="14">
        <v>8.5</v>
      </c>
      <c r="J721" s="15">
        <v>-8.5</v>
      </c>
      <c r="K721" s="17" t="s">
        <v>68</v>
      </c>
      <c r="P721" s="1"/>
      <c r="U721" s="1"/>
    </row>
    <row r="722" spans="1:21" x14ac:dyDescent="0.3">
      <c r="A722" s="11">
        <v>10003106</v>
      </c>
      <c r="B722" s="17" t="s">
        <v>91</v>
      </c>
      <c r="C722" s="18" t="s">
        <v>13</v>
      </c>
      <c r="D722" s="9">
        <v>46202</v>
      </c>
      <c r="E722" s="17" t="s">
        <v>118</v>
      </c>
      <c r="F722" s="12"/>
      <c r="G722" s="12"/>
      <c r="H722" s="13">
        <v>0</v>
      </c>
      <c r="I722" s="14">
        <v>8.5</v>
      </c>
      <c r="J722" s="15">
        <v>-8.5</v>
      </c>
      <c r="K722" s="17" t="s">
        <v>68</v>
      </c>
      <c r="P722" s="1"/>
      <c r="U722" s="1"/>
    </row>
    <row r="723" spans="1:21" x14ac:dyDescent="0.3">
      <c r="A723" s="11">
        <v>10003120</v>
      </c>
      <c r="B723" s="17" t="s">
        <v>92</v>
      </c>
      <c r="C723" s="18" t="s">
        <v>24</v>
      </c>
      <c r="D723" s="9">
        <v>46194</v>
      </c>
      <c r="E723" s="17" t="s">
        <v>113</v>
      </c>
      <c r="F723" s="12"/>
      <c r="G723" s="12"/>
      <c r="H723" s="13">
        <v>0</v>
      </c>
      <c r="I723" s="14">
        <v>0</v>
      </c>
      <c r="J723" s="15">
        <v>0</v>
      </c>
      <c r="K723" s="17" t="s">
        <v>116</v>
      </c>
      <c r="P723" s="1"/>
      <c r="U723" s="1"/>
    </row>
    <row r="724" spans="1:21" x14ac:dyDescent="0.3">
      <c r="A724" s="11">
        <v>10003120</v>
      </c>
      <c r="B724" s="17" t="s">
        <v>92</v>
      </c>
      <c r="C724" s="18" t="s">
        <v>24</v>
      </c>
      <c r="D724" s="9">
        <v>46195</v>
      </c>
      <c r="E724" s="17" t="s">
        <v>118</v>
      </c>
      <c r="F724" s="12">
        <v>0.33078703703703705</v>
      </c>
      <c r="G724" s="12">
        <v>0.71447916666666667</v>
      </c>
      <c r="H724" s="13">
        <v>9.2086111111111109</v>
      </c>
      <c r="I724" s="14">
        <v>9</v>
      </c>
      <c r="J724" s="15">
        <v>0.20861111111111086</v>
      </c>
      <c r="K724" s="17" t="s">
        <v>115</v>
      </c>
      <c r="P724" s="1"/>
      <c r="U724" s="1"/>
    </row>
    <row r="725" spans="1:21" x14ac:dyDescent="0.3">
      <c r="A725" s="11">
        <v>10003120</v>
      </c>
      <c r="B725" s="17" t="s">
        <v>92</v>
      </c>
      <c r="C725" s="18" t="s">
        <v>24</v>
      </c>
      <c r="D725" s="9">
        <v>46196</v>
      </c>
      <c r="E725" s="17" t="s">
        <v>119</v>
      </c>
      <c r="F725" s="12">
        <v>0.33732638888888888</v>
      </c>
      <c r="G725" s="12">
        <v>0.71773148148148147</v>
      </c>
      <c r="H725" s="13">
        <v>9.1297222222222221</v>
      </c>
      <c r="I725" s="14">
        <v>9</v>
      </c>
      <c r="J725" s="15">
        <v>0.12972222222222207</v>
      </c>
      <c r="K725" s="17" t="s">
        <v>115</v>
      </c>
      <c r="P725" s="1"/>
      <c r="U725" s="1"/>
    </row>
    <row r="726" spans="1:21" x14ac:dyDescent="0.3">
      <c r="A726" s="11">
        <v>10003120</v>
      </c>
      <c r="B726" s="17" t="s">
        <v>92</v>
      </c>
      <c r="C726" s="18" t="s">
        <v>24</v>
      </c>
      <c r="D726" s="9">
        <v>46197</v>
      </c>
      <c r="E726" s="17" t="s">
        <v>123</v>
      </c>
      <c r="F726" s="12">
        <v>0.34729166666666667</v>
      </c>
      <c r="G726" s="12">
        <v>0.72430555555555554</v>
      </c>
      <c r="H726" s="13">
        <v>9.048333333333332</v>
      </c>
      <c r="I726" s="14">
        <v>9</v>
      </c>
      <c r="J726" s="15">
        <v>4.8333333333332007E-2</v>
      </c>
      <c r="K726" s="17" t="s">
        <v>115</v>
      </c>
      <c r="P726" s="1"/>
      <c r="U726" s="1"/>
    </row>
    <row r="727" spans="1:21" x14ac:dyDescent="0.3">
      <c r="A727" s="11">
        <v>10003120</v>
      </c>
      <c r="B727" s="17" t="s">
        <v>92</v>
      </c>
      <c r="C727" s="18" t="s">
        <v>24</v>
      </c>
      <c r="D727" s="9">
        <v>46198</v>
      </c>
      <c r="E727" s="17" t="s">
        <v>124</v>
      </c>
      <c r="F727" s="12">
        <v>0.34284722222222225</v>
      </c>
      <c r="G727" s="12">
        <v>0.71827546296296296</v>
      </c>
      <c r="H727" s="13">
        <v>9.0102777777777767</v>
      </c>
      <c r="I727" s="14">
        <v>9</v>
      </c>
      <c r="J727" s="15">
        <v>1.027777777777672E-2</v>
      </c>
      <c r="K727" s="17" t="s">
        <v>115</v>
      </c>
      <c r="P727" s="1"/>
      <c r="U727" s="1"/>
    </row>
    <row r="728" spans="1:21" x14ac:dyDescent="0.3">
      <c r="A728" s="11">
        <v>10003120</v>
      </c>
      <c r="B728" s="17" t="s">
        <v>92</v>
      </c>
      <c r="C728" s="18" t="s">
        <v>24</v>
      </c>
      <c r="D728" s="9">
        <v>46199</v>
      </c>
      <c r="E728" s="17" t="s">
        <v>125</v>
      </c>
      <c r="F728" s="12">
        <v>0.33755787037037038</v>
      </c>
      <c r="G728" s="12">
        <v>0.5060648148148148</v>
      </c>
      <c r="H728" s="13">
        <v>4.0441666666666656</v>
      </c>
      <c r="I728" s="14">
        <v>4</v>
      </c>
      <c r="J728" s="15">
        <v>4.4166666666665577E-2</v>
      </c>
      <c r="K728" s="17" t="s">
        <v>115</v>
      </c>
      <c r="P728" s="1"/>
      <c r="U728" s="1"/>
    </row>
    <row r="729" spans="1:21" x14ac:dyDescent="0.3">
      <c r="A729" s="11">
        <v>10003120</v>
      </c>
      <c r="B729" s="17" t="s">
        <v>92</v>
      </c>
      <c r="C729" s="18" t="s">
        <v>24</v>
      </c>
      <c r="D729" s="9">
        <v>46200</v>
      </c>
      <c r="E729" s="17" t="s">
        <v>126</v>
      </c>
      <c r="F729" s="12"/>
      <c r="G729" s="12"/>
      <c r="H729" s="13">
        <v>0</v>
      </c>
      <c r="I729" s="14">
        <v>0</v>
      </c>
      <c r="J729" s="15">
        <v>0</v>
      </c>
      <c r="K729" s="17" t="s">
        <v>116</v>
      </c>
      <c r="P729" s="1"/>
      <c r="U729" s="1"/>
    </row>
    <row r="730" spans="1:21" x14ac:dyDescent="0.3">
      <c r="A730" s="11">
        <v>10003120</v>
      </c>
      <c r="B730" s="17" t="s">
        <v>92</v>
      </c>
      <c r="C730" s="18" t="s">
        <v>24</v>
      </c>
      <c r="D730" s="9">
        <v>46201</v>
      </c>
      <c r="E730" s="17" t="s">
        <v>113</v>
      </c>
      <c r="F730" s="12"/>
      <c r="G730" s="12"/>
      <c r="H730" s="13">
        <v>0</v>
      </c>
      <c r="I730" s="14">
        <v>0</v>
      </c>
      <c r="J730" s="15">
        <v>0</v>
      </c>
      <c r="K730" s="17" t="s">
        <v>116</v>
      </c>
      <c r="P730" s="1"/>
      <c r="U730" s="1"/>
    </row>
    <row r="731" spans="1:21" x14ac:dyDescent="0.3">
      <c r="A731" s="11">
        <v>10003120</v>
      </c>
      <c r="B731" s="17" t="s">
        <v>92</v>
      </c>
      <c r="C731" s="18" t="s">
        <v>24</v>
      </c>
      <c r="D731" s="9">
        <v>46202</v>
      </c>
      <c r="E731" s="17" t="s">
        <v>118</v>
      </c>
      <c r="F731" s="12">
        <v>0.32563657407407409</v>
      </c>
      <c r="G731" s="12">
        <v>0.71515046296296292</v>
      </c>
      <c r="H731" s="13">
        <v>9.3483333333333327</v>
      </c>
      <c r="I731" s="14">
        <v>9</v>
      </c>
      <c r="J731" s="15">
        <v>0.34833333333333272</v>
      </c>
      <c r="K731" s="17" t="s">
        <v>115</v>
      </c>
      <c r="P731" s="1"/>
      <c r="U731" s="1"/>
    </row>
    <row r="732" spans="1:21" x14ac:dyDescent="0.3">
      <c r="A732" s="11">
        <v>10003135</v>
      </c>
      <c r="B732" s="17" t="s">
        <v>94</v>
      </c>
      <c r="C732" s="18" t="s">
        <v>14</v>
      </c>
      <c r="D732" s="9">
        <v>46194</v>
      </c>
      <c r="E732" s="17" t="s">
        <v>113</v>
      </c>
      <c r="F732" s="12"/>
      <c r="G732" s="12"/>
      <c r="H732" s="13">
        <v>0</v>
      </c>
      <c r="I732" s="14">
        <v>0</v>
      </c>
      <c r="J732" s="15">
        <v>0</v>
      </c>
      <c r="K732" s="17" t="s">
        <v>116</v>
      </c>
      <c r="P732" s="1"/>
      <c r="U732" s="1"/>
    </row>
    <row r="733" spans="1:21" x14ac:dyDescent="0.3">
      <c r="A733" s="11">
        <v>10003135</v>
      </c>
      <c r="B733" s="17" t="s">
        <v>94</v>
      </c>
      <c r="C733" s="18" t="s">
        <v>14</v>
      </c>
      <c r="D733" s="9">
        <v>46195</v>
      </c>
      <c r="E733" s="17" t="s">
        <v>118</v>
      </c>
      <c r="F733" s="12"/>
      <c r="G733" s="12"/>
      <c r="H733" s="13">
        <v>0</v>
      </c>
      <c r="I733" s="14">
        <v>9</v>
      </c>
      <c r="J733" s="15">
        <v>-9</v>
      </c>
      <c r="K733" s="17" t="s">
        <v>68</v>
      </c>
      <c r="P733" s="1"/>
      <c r="U733" s="1"/>
    </row>
    <row r="734" spans="1:21" x14ac:dyDescent="0.3">
      <c r="A734" s="11">
        <v>10003135</v>
      </c>
      <c r="B734" s="17" t="s">
        <v>94</v>
      </c>
      <c r="C734" s="18" t="s">
        <v>14</v>
      </c>
      <c r="D734" s="9">
        <v>46196</v>
      </c>
      <c r="E734" s="17" t="s">
        <v>119</v>
      </c>
      <c r="F734" s="12"/>
      <c r="G734" s="12"/>
      <c r="H734" s="13">
        <v>0</v>
      </c>
      <c r="I734" s="14">
        <v>9</v>
      </c>
      <c r="J734" s="15">
        <v>-9</v>
      </c>
      <c r="K734" s="17" t="s">
        <v>68</v>
      </c>
      <c r="P734" s="1"/>
      <c r="U734" s="1"/>
    </row>
    <row r="735" spans="1:21" x14ac:dyDescent="0.3">
      <c r="A735" s="11">
        <v>10003135</v>
      </c>
      <c r="B735" s="17" t="s">
        <v>94</v>
      </c>
      <c r="C735" s="18" t="s">
        <v>14</v>
      </c>
      <c r="D735" s="9">
        <v>46197</v>
      </c>
      <c r="E735" s="17" t="s">
        <v>123</v>
      </c>
      <c r="F735" s="12"/>
      <c r="G735" s="12"/>
      <c r="H735" s="13">
        <v>0</v>
      </c>
      <c r="I735" s="14">
        <v>9</v>
      </c>
      <c r="J735" s="15">
        <v>-9</v>
      </c>
      <c r="K735" s="17" t="s">
        <v>68</v>
      </c>
      <c r="P735" s="1"/>
      <c r="U735" s="1"/>
    </row>
    <row r="736" spans="1:21" x14ac:dyDescent="0.3">
      <c r="A736" s="11">
        <v>10003135</v>
      </c>
      <c r="B736" s="17" t="s">
        <v>94</v>
      </c>
      <c r="C736" s="18" t="s">
        <v>14</v>
      </c>
      <c r="D736" s="9">
        <v>46198</v>
      </c>
      <c r="E736" s="17" t="s">
        <v>124</v>
      </c>
      <c r="F736" s="12"/>
      <c r="G736" s="12"/>
      <c r="H736" s="13">
        <v>0</v>
      </c>
      <c r="I736" s="14">
        <v>9</v>
      </c>
      <c r="J736" s="15">
        <v>-9</v>
      </c>
      <c r="K736" s="17" t="s">
        <v>68</v>
      </c>
      <c r="P736" s="1"/>
      <c r="U736" s="1"/>
    </row>
    <row r="737" spans="1:21" x14ac:dyDescent="0.3">
      <c r="A737" s="11">
        <v>10003135</v>
      </c>
      <c r="B737" s="17" t="s">
        <v>94</v>
      </c>
      <c r="C737" s="18" t="s">
        <v>14</v>
      </c>
      <c r="D737" s="9">
        <v>46199</v>
      </c>
      <c r="E737" s="17" t="s">
        <v>125</v>
      </c>
      <c r="F737" s="12"/>
      <c r="G737" s="12"/>
      <c r="H737" s="13">
        <v>0</v>
      </c>
      <c r="I737" s="14">
        <v>4</v>
      </c>
      <c r="J737" s="15">
        <v>-4</v>
      </c>
      <c r="K737" s="17" t="s">
        <v>68</v>
      </c>
      <c r="P737" s="1"/>
      <c r="U737" s="1"/>
    </row>
    <row r="738" spans="1:21" x14ac:dyDescent="0.3">
      <c r="A738" s="11">
        <v>10003135</v>
      </c>
      <c r="B738" s="17" t="s">
        <v>94</v>
      </c>
      <c r="C738" s="18" t="s">
        <v>14</v>
      </c>
      <c r="D738" s="9">
        <v>46200</v>
      </c>
      <c r="E738" s="17" t="s">
        <v>126</v>
      </c>
      <c r="F738" s="12"/>
      <c r="G738" s="12"/>
      <c r="H738" s="13">
        <v>0</v>
      </c>
      <c r="I738" s="14">
        <v>0</v>
      </c>
      <c r="J738" s="15">
        <v>0</v>
      </c>
      <c r="K738" s="17" t="s">
        <v>116</v>
      </c>
      <c r="P738" s="1"/>
      <c r="U738" s="1"/>
    </row>
    <row r="739" spans="1:21" x14ac:dyDescent="0.3">
      <c r="A739" s="11">
        <v>10003135</v>
      </c>
      <c r="B739" s="17" t="s">
        <v>94</v>
      </c>
      <c r="C739" s="18" t="s">
        <v>14</v>
      </c>
      <c r="D739" s="9">
        <v>46201</v>
      </c>
      <c r="E739" s="17" t="s">
        <v>113</v>
      </c>
      <c r="F739" s="12"/>
      <c r="G739" s="12"/>
      <c r="H739" s="13">
        <v>0</v>
      </c>
      <c r="I739" s="14">
        <v>0</v>
      </c>
      <c r="J739" s="15">
        <v>0</v>
      </c>
      <c r="K739" s="17" t="s">
        <v>116</v>
      </c>
      <c r="P739" s="1"/>
      <c r="U739" s="1"/>
    </row>
    <row r="740" spans="1:21" x14ac:dyDescent="0.3">
      <c r="A740" s="11">
        <v>10003135</v>
      </c>
      <c r="B740" s="17" t="s">
        <v>94</v>
      </c>
      <c r="C740" s="18" t="s">
        <v>14</v>
      </c>
      <c r="D740" s="9">
        <v>46202</v>
      </c>
      <c r="E740" s="17" t="s">
        <v>118</v>
      </c>
      <c r="F740" s="12"/>
      <c r="G740" s="12"/>
      <c r="H740" s="13">
        <v>0</v>
      </c>
      <c r="I740" s="14">
        <v>9</v>
      </c>
      <c r="J740" s="15">
        <v>-9</v>
      </c>
      <c r="K740" s="17" t="s">
        <v>68</v>
      </c>
      <c r="P740" s="1"/>
      <c r="U740" s="1"/>
    </row>
    <row r="741" spans="1:21" x14ac:dyDescent="0.3">
      <c r="A741" s="11">
        <v>10003156</v>
      </c>
      <c r="B741" s="17" t="s">
        <v>95</v>
      </c>
      <c r="C741" s="18" t="s">
        <v>11</v>
      </c>
      <c r="D741" s="9">
        <v>46194</v>
      </c>
      <c r="E741" s="17" t="s">
        <v>113</v>
      </c>
      <c r="F741" s="12"/>
      <c r="G741" s="12"/>
      <c r="H741" s="13">
        <v>0</v>
      </c>
      <c r="I741" s="14">
        <v>0</v>
      </c>
      <c r="J741" s="15">
        <v>0</v>
      </c>
      <c r="K741" s="17" t="s">
        <v>116</v>
      </c>
      <c r="P741" s="1"/>
      <c r="U741" s="1"/>
    </row>
    <row r="742" spans="1:21" x14ac:dyDescent="0.3">
      <c r="A742" s="11">
        <v>10003156</v>
      </c>
      <c r="B742" s="17" t="s">
        <v>95</v>
      </c>
      <c r="C742" s="18" t="s">
        <v>11</v>
      </c>
      <c r="D742" s="9">
        <v>46195</v>
      </c>
      <c r="E742" s="17" t="s">
        <v>118</v>
      </c>
      <c r="F742" s="12"/>
      <c r="G742" s="12"/>
      <c r="H742" s="13">
        <v>0</v>
      </c>
      <c r="I742" s="14">
        <v>0</v>
      </c>
      <c r="J742" s="15">
        <v>0</v>
      </c>
      <c r="K742" s="17" t="s">
        <v>129</v>
      </c>
      <c r="P742" s="1"/>
      <c r="U742" s="1"/>
    </row>
    <row r="743" spans="1:21" x14ac:dyDescent="0.3">
      <c r="A743" s="11">
        <v>10003156</v>
      </c>
      <c r="B743" s="17" t="s">
        <v>95</v>
      </c>
      <c r="C743" s="18" t="s">
        <v>11</v>
      </c>
      <c r="D743" s="9">
        <v>46196</v>
      </c>
      <c r="E743" s="17" t="s">
        <v>119</v>
      </c>
      <c r="F743" s="12"/>
      <c r="G743" s="12"/>
      <c r="H743" s="13">
        <v>0</v>
      </c>
      <c r="I743" s="14">
        <v>0</v>
      </c>
      <c r="J743" s="15">
        <v>0</v>
      </c>
      <c r="K743" s="17" t="s">
        <v>129</v>
      </c>
      <c r="P743" s="1"/>
      <c r="U743" s="1"/>
    </row>
    <row r="744" spans="1:21" x14ac:dyDescent="0.3">
      <c r="A744" s="11">
        <v>10003156</v>
      </c>
      <c r="B744" s="17" t="s">
        <v>95</v>
      </c>
      <c r="C744" s="18" t="s">
        <v>11</v>
      </c>
      <c r="D744" s="9">
        <v>46197</v>
      </c>
      <c r="E744" s="17" t="s">
        <v>123</v>
      </c>
      <c r="F744" s="12"/>
      <c r="G744" s="12"/>
      <c r="H744" s="13">
        <v>0</v>
      </c>
      <c r="I744" s="14">
        <v>0</v>
      </c>
      <c r="J744" s="15">
        <v>0</v>
      </c>
      <c r="K744" s="17" t="s">
        <v>129</v>
      </c>
      <c r="P744" s="1"/>
      <c r="U744" s="1"/>
    </row>
    <row r="745" spans="1:21" x14ac:dyDescent="0.3">
      <c r="A745" s="11">
        <v>10003156</v>
      </c>
      <c r="B745" s="17" t="s">
        <v>95</v>
      </c>
      <c r="C745" s="18" t="s">
        <v>11</v>
      </c>
      <c r="D745" s="9">
        <v>46198</v>
      </c>
      <c r="E745" s="17" t="s">
        <v>124</v>
      </c>
      <c r="F745" s="12"/>
      <c r="G745" s="12"/>
      <c r="H745" s="13">
        <v>0</v>
      </c>
      <c r="I745" s="14">
        <v>0</v>
      </c>
      <c r="J745" s="15">
        <v>0</v>
      </c>
      <c r="K745" s="17" t="s">
        <v>129</v>
      </c>
      <c r="P745" s="1"/>
      <c r="U745" s="1"/>
    </row>
    <row r="746" spans="1:21" x14ac:dyDescent="0.3">
      <c r="A746" s="11">
        <v>10003156</v>
      </c>
      <c r="B746" s="17" t="s">
        <v>95</v>
      </c>
      <c r="C746" s="18" t="s">
        <v>11</v>
      </c>
      <c r="D746" s="9">
        <v>46199</v>
      </c>
      <c r="E746" s="17" t="s">
        <v>125</v>
      </c>
      <c r="F746" s="12"/>
      <c r="G746" s="12"/>
      <c r="H746" s="13">
        <v>0</v>
      </c>
      <c r="I746" s="14">
        <v>0</v>
      </c>
      <c r="J746" s="15">
        <v>0</v>
      </c>
      <c r="K746" s="17" t="s">
        <v>129</v>
      </c>
      <c r="P746" s="1"/>
      <c r="U746" s="1"/>
    </row>
    <row r="747" spans="1:21" x14ac:dyDescent="0.3">
      <c r="A747" s="11">
        <v>10003156</v>
      </c>
      <c r="B747" s="17" t="s">
        <v>95</v>
      </c>
      <c r="C747" s="18" t="s">
        <v>11</v>
      </c>
      <c r="D747" s="9">
        <v>46200</v>
      </c>
      <c r="E747" s="17" t="s">
        <v>126</v>
      </c>
      <c r="F747" s="12"/>
      <c r="G747" s="12"/>
      <c r="H747" s="13">
        <v>0</v>
      </c>
      <c r="I747" s="14">
        <v>0</v>
      </c>
      <c r="J747" s="15">
        <v>0</v>
      </c>
      <c r="K747" s="17" t="s">
        <v>129</v>
      </c>
      <c r="P747" s="1"/>
      <c r="U747" s="1"/>
    </row>
    <row r="748" spans="1:21" x14ac:dyDescent="0.3">
      <c r="A748" s="11">
        <v>10003156</v>
      </c>
      <c r="B748" s="17" t="s">
        <v>95</v>
      </c>
      <c r="C748" s="18" t="s">
        <v>11</v>
      </c>
      <c r="D748" s="9">
        <v>46201</v>
      </c>
      <c r="E748" s="17" t="s">
        <v>113</v>
      </c>
      <c r="F748" s="12"/>
      <c r="G748" s="12"/>
      <c r="H748" s="13">
        <v>0</v>
      </c>
      <c r="I748" s="14">
        <v>0</v>
      </c>
      <c r="J748" s="15">
        <v>0</v>
      </c>
      <c r="K748" s="17" t="s">
        <v>129</v>
      </c>
      <c r="P748" s="1"/>
      <c r="U748" s="1"/>
    </row>
    <row r="749" spans="1:21" x14ac:dyDescent="0.3">
      <c r="A749" s="11">
        <v>10003156</v>
      </c>
      <c r="B749" s="17" t="s">
        <v>95</v>
      </c>
      <c r="C749" s="18" t="s">
        <v>11</v>
      </c>
      <c r="D749" s="9">
        <v>46202</v>
      </c>
      <c r="E749" s="17" t="s">
        <v>118</v>
      </c>
      <c r="F749" s="12"/>
      <c r="G749" s="12"/>
      <c r="H749" s="13">
        <v>0</v>
      </c>
      <c r="I749" s="14">
        <v>0</v>
      </c>
      <c r="J749" s="15">
        <v>0</v>
      </c>
      <c r="K749" s="17" t="s">
        <v>129</v>
      </c>
      <c r="P749" s="1"/>
      <c r="U749" s="1"/>
    </row>
    <row r="750" spans="1:21" x14ac:dyDescent="0.3">
      <c r="A750" s="11">
        <v>10003220</v>
      </c>
      <c r="B750" s="17" t="s">
        <v>103</v>
      </c>
      <c r="C750" s="18" t="s">
        <v>14</v>
      </c>
      <c r="D750" s="9">
        <v>46194</v>
      </c>
      <c r="E750" s="17" t="s">
        <v>113</v>
      </c>
      <c r="F750" s="12"/>
      <c r="G750" s="12"/>
      <c r="H750" s="13">
        <v>0</v>
      </c>
      <c r="I750" s="14">
        <v>0</v>
      </c>
      <c r="J750" s="15">
        <v>0</v>
      </c>
      <c r="K750" s="17" t="s">
        <v>116</v>
      </c>
      <c r="P750" s="1"/>
      <c r="U750" s="1"/>
    </row>
    <row r="751" spans="1:21" x14ac:dyDescent="0.3">
      <c r="A751" s="11">
        <v>10003220</v>
      </c>
      <c r="B751" s="17" t="s">
        <v>103</v>
      </c>
      <c r="C751" s="18" t="s">
        <v>14</v>
      </c>
      <c r="D751" s="9">
        <v>46195</v>
      </c>
      <c r="E751" s="17" t="s">
        <v>118</v>
      </c>
      <c r="F751" s="12">
        <v>0.32995370370370369</v>
      </c>
      <c r="G751" s="12">
        <v>0.74843749999999998</v>
      </c>
      <c r="H751" s="13">
        <v>10.043611111111112</v>
      </c>
      <c r="I751" s="14">
        <v>9</v>
      </c>
      <c r="J751" s="15">
        <v>1.0436111111111117</v>
      </c>
      <c r="K751" s="17" t="s">
        <v>115</v>
      </c>
      <c r="P751" s="1"/>
      <c r="U751" s="1"/>
    </row>
    <row r="752" spans="1:21" x14ac:dyDescent="0.3">
      <c r="A752" s="11">
        <v>10003220</v>
      </c>
      <c r="B752" s="17" t="s">
        <v>103</v>
      </c>
      <c r="C752" s="18" t="s">
        <v>14</v>
      </c>
      <c r="D752" s="9">
        <v>46196</v>
      </c>
      <c r="E752" s="17" t="s">
        <v>119</v>
      </c>
      <c r="F752" s="12">
        <v>0.33333333333333331</v>
      </c>
      <c r="G752" s="12">
        <v>0.78126157407407404</v>
      </c>
      <c r="H752" s="13">
        <v>10.750277777777777</v>
      </c>
      <c r="I752" s="14">
        <v>9</v>
      </c>
      <c r="J752" s="15">
        <v>1.7502777777777769</v>
      </c>
      <c r="K752" s="17" t="s">
        <v>115</v>
      </c>
      <c r="P752" s="1"/>
      <c r="U752" s="1"/>
    </row>
    <row r="753" spans="1:21" x14ac:dyDescent="0.3">
      <c r="A753" s="11">
        <v>10003220</v>
      </c>
      <c r="B753" s="17" t="s">
        <v>103</v>
      </c>
      <c r="C753" s="18" t="s">
        <v>14</v>
      </c>
      <c r="D753" s="9">
        <v>46197</v>
      </c>
      <c r="E753" s="17" t="s">
        <v>123</v>
      </c>
      <c r="F753" s="12">
        <v>0.33687499999999998</v>
      </c>
      <c r="G753" s="12">
        <v>0.7389930555555555</v>
      </c>
      <c r="H753" s="13">
        <v>9.6508333333333329</v>
      </c>
      <c r="I753" s="14">
        <v>9</v>
      </c>
      <c r="J753" s="15">
        <v>0.65083333333333293</v>
      </c>
      <c r="K753" s="17" t="s">
        <v>115</v>
      </c>
      <c r="P753" s="1"/>
      <c r="U753" s="1"/>
    </row>
    <row r="754" spans="1:21" x14ac:dyDescent="0.3">
      <c r="A754" s="11">
        <v>10003220</v>
      </c>
      <c r="B754" s="17" t="s">
        <v>103</v>
      </c>
      <c r="C754" s="18" t="s">
        <v>14</v>
      </c>
      <c r="D754" s="9">
        <v>46198</v>
      </c>
      <c r="E754" s="17" t="s">
        <v>124</v>
      </c>
      <c r="F754" s="12">
        <v>0.33907407407407408</v>
      </c>
      <c r="G754" s="12">
        <v>0.73412037037037037</v>
      </c>
      <c r="H754" s="13">
        <v>9.4811111111111117</v>
      </c>
      <c r="I754" s="14">
        <v>9</v>
      </c>
      <c r="J754" s="15">
        <v>0.48111111111111171</v>
      </c>
      <c r="K754" s="17" t="s">
        <v>115</v>
      </c>
      <c r="P754" s="1"/>
      <c r="U754" s="1"/>
    </row>
    <row r="755" spans="1:21" x14ac:dyDescent="0.3">
      <c r="A755" s="11">
        <v>10003220</v>
      </c>
      <c r="B755" s="17" t="s">
        <v>103</v>
      </c>
      <c r="C755" s="18" t="s">
        <v>14</v>
      </c>
      <c r="D755" s="9">
        <v>46199</v>
      </c>
      <c r="E755" s="17" t="s">
        <v>125</v>
      </c>
      <c r="F755" s="12">
        <v>0.33252314814814815</v>
      </c>
      <c r="G755" s="12">
        <v>0.75166666666666671</v>
      </c>
      <c r="H755" s="13">
        <v>10.059444444444445</v>
      </c>
      <c r="I755" s="14">
        <v>4</v>
      </c>
      <c r="J755" s="15">
        <v>6.0594444444444449</v>
      </c>
      <c r="K755" s="17" t="s">
        <v>115</v>
      </c>
      <c r="P755" s="1"/>
      <c r="U755" s="1"/>
    </row>
    <row r="756" spans="1:21" x14ac:dyDescent="0.3">
      <c r="A756" s="11">
        <v>10003220</v>
      </c>
      <c r="B756" s="17" t="s">
        <v>103</v>
      </c>
      <c r="C756" s="18" t="s">
        <v>14</v>
      </c>
      <c r="D756" s="9">
        <v>46200</v>
      </c>
      <c r="E756" s="17" t="s">
        <v>126</v>
      </c>
      <c r="F756" s="12">
        <v>0.33695601851851853</v>
      </c>
      <c r="G756" s="12">
        <v>0.71543981481481478</v>
      </c>
      <c r="H756" s="13">
        <v>9.0836111111111109</v>
      </c>
      <c r="I756" s="14">
        <v>0</v>
      </c>
      <c r="J756" s="15">
        <v>9.0836111111111109</v>
      </c>
      <c r="K756" s="17" t="s">
        <v>114</v>
      </c>
      <c r="P756" s="1"/>
      <c r="U756" s="1"/>
    </row>
    <row r="757" spans="1:21" x14ac:dyDescent="0.3">
      <c r="A757" s="11">
        <v>10003220</v>
      </c>
      <c r="B757" s="17" t="s">
        <v>103</v>
      </c>
      <c r="C757" s="18" t="s">
        <v>14</v>
      </c>
      <c r="D757" s="9">
        <v>46201</v>
      </c>
      <c r="E757" s="17" t="s">
        <v>113</v>
      </c>
      <c r="F757" s="12"/>
      <c r="G757" s="12"/>
      <c r="H757" s="13">
        <v>0</v>
      </c>
      <c r="I757" s="14">
        <v>0</v>
      </c>
      <c r="J757" s="15">
        <v>0</v>
      </c>
      <c r="K757" s="17" t="s">
        <v>116</v>
      </c>
      <c r="P757" s="1"/>
      <c r="U757" s="1"/>
    </row>
    <row r="758" spans="1:21" x14ac:dyDescent="0.3">
      <c r="A758" s="11">
        <v>10003220</v>
      </c>
      <c r="B758" s="17" t="s">
        <v>103</v>
      </c>
      <c r="C758" s="18" t="s">
        <v>14</v>
      </c>
      <c r="D758" s="9">
        <v>46202</v>
      </c>
      <c r="E758" s="17" t="s">
        <v>118</v>
      </c>
      <c r="F758" s="12">
        <v>0.32855324074074072</v>
      </c>
      <c r="G758" s="12">
        <v>0.80274305555555558</v>
      </c>
      <c r="H758" s="13">
        <v>11.380555555555556</v>
      </c>
      <c r="I758" s="14">
        <v>9</v>
      </c>
      <c r="J758" s="15">
        <v>2.3805555555555564</v>
      </c>
      <c r="K758" s="17" t="s">
        <v>115</v>
      </c>
      <c r="P758" s="1"/>
      <c r="U758" s="1"/>
    </row>
    <row r="759" spans="1:21" x14ac:dyDescent="0.3">
      <c r="A759" s="11">
        <v>10003230</v>
      </c>
      <c r="B759" s="17" t="s">
        <v>96</v>
      </c>
      <c r="C759" s="18" t="s">
        <v>11</v>
      </c>
      <c r="D759" s="9">
        <v>46194</v>
      </c>
      <c r="E759" s="17" t="s">
        <v>113</v>
      </c>
      <c r="F759" s="12"/>
      <c r="G759" s="12"/>
      <c r="H759" s="13">
        <v>0</v>
      </c>
      <c r="I759" s="14">
        <v>0</v>
      </c>
      <c r="J759" s="15">
        <v>0</v>
      </c>
      <c r="K759" s="17" t="s">
        <v>116</v>
      </c>
      <c r="P759" s="1"/>
      <c r="U759" s="1"/>
    </row>
    <row r="760" spans="1:21" x14ac:dyDescent="0.3">
      <c r="A760" s="11">
        <v>10003230</v>
      </c>
      <c r="B760" s="17" t="s">
        <v>96</v>
      </c>
      <c r="C760" s="18" t="s">
        <v>11</v>
      </c>
      <c r="D760" s="9">
        <v>46195</v>
      </c>
      <c r="E760" s="17" t="s">
        <v>118</v>
      </c>
      <c r="F760" s="12">
        <v>0.34096064814814814</v>
      </c>
      <c r="G760" s="12">
        <v>0.73960648148148145</v>
      </c>
      <c r="H760" s="13">
        <v>9.567499999999999</v>
      </c>
      <c r="I760" s="14">
        <v>9</v>
      </c>
      <c r="J760" s="15">
        <v>0.56749999999999901</v>
      </c>
      <c r="K760" s="17" t="s">
        <v>115</v>
      </c>
      <c r="P760" s="1"/>
      <c r="U760" s="1"/>
    </row>
    <row r="761" spans="1:21" x14ac:dyDescent="0.3">
      <c r="A761" s="11">
        <v>10003230</v>
      </c>
      <c r="B761" s="17" t="s">
        <v>96</v>
      </c>
      <c r="C761" s="18" t="s">
        <v>11</v>
      </c>
      <c r="D761" s="9">
        <v>46196</v>
      </c>
      <c r="E761" s="17" t="s">
        <v>119</v>
      </c>
      <c r="F761" s="12">
        <v>0.34057870370370369</v>
      </c>
      <c r="G761" s="12">
        <v>0.74954861111111115</v>
      </c>
      <c r="H761" s="13">
        <v>9.81527777777778</v>
      </c>
      <c r="I761" s="14">
        <v>9</v>
      </c>
      <c r="J761" s="15">
        <v>0.81527777777777999</v>
      </c>
      <c r="K761" s="17" t="s">
        <v>115</v>
      </c>
      <c r="P761" s="1"/>
      <c r="U761" s="1"/>
    </row>
    <row r="762" spans="1:21" x14ac:dyDescent="0.3">
      <c r="A762" s="11">
        <v>10003230</v>
      </c>
      <c r="B762" s="17" t="s">
        <v>96</v>
      </c>
      <c r="C762" s="18" t="s">
        <v>11</v>
      </c>
      <c r="D762" s="9">
        <v>46197</v>
      </c>
      <c r="E762" s="17" t="s">
        <v>123</v>
      </c>
      <c r="F762" s="12">
        <v>0.3404861111111111</v>
      </c>
      <c r="G762" s="12">
        <v>0.74556712962962968</v>
      </c>
      <c r="H762" s="13">
        <v>9.7219444444444463</v>
      </c>
      <c r="I762" s="14">
        <v>9</v>
      </c>
      <c r="J762" s="15">
        <v>0.72194444444444628</v>
      </c>
      <c r="K762" s="17" t="s">
        <v>115</v>
      </c>
      <c r="P762" s="1"/>
      <c r="U762" s="1"/>
    </row>
    <row r="763" spans="1:21" x14ac:dyDescent="0.3">
      <c r="A763" s="11">
        <v>10003230</v>
      </c>
      <c r="B763" s="17" t="s">
        <v>96</v>
      </c>
      <c r="C763" s="18" t="s">
        <v>11</v>
      </c>
      <c r="D763" s="9">
        <v>46198</v>
      </c>
      <c r="E763" s="17" t="s">
        <v>124</v>
      </c>
      <c r="F763" s="12">
        <v>0.34304398148148146</v>
      </c>
      <c r="G763" s="12">
        <v>0.74006944444444445</v>
      </c>
      <c r="H763" s="13">
        <v>9.5286111111111111</v>
      </c>
      <c r="I763" s="14">
        <v>9</v>
      </c>
      <c r="J763" s="15">
        <v>0.52861111111111114</v>
      </c>
      <c r="K763" s="17" t="s">
        <v>115</v>
      </c>
      <c r="P763" s="1"/>
      <c r="U763" s="1"/>
    </row>
    <row r="764" spans="1:21" x14ac:dyDescent="0.3">
      <c r="A764" s="11">
        <v>10003230</v>
      </c>
      <c r="B764" s="17" t="s">
        <v>96</v>
      </c>
      <c r="C764" s="18" t="s">
        <v>11</v>
      </c>
      <c r="D764" s="9">
        <v>46199</v>
      </c>
      <c r="E764" s="17" t="s">
        <v>125</v>
      </c>
      <c r="F764" s="12">
        <v>0.34072916666666669</v>
      </c>
      <c r="G764" s="12">
        <v>0.54689814814814819</v>
      </c>
      <c r="H764" s="13">
        <v>4.9480555555555554</v>
      </c>
      <c r="I764" s="14">
        <v>4</v>
      </c>
      <c r="J764" s="15">
        <v>0.94805555555555543</v>
      </c>
      <c r="K764" s="17" t="s">
        <v>115</v>
      </c>
      <c r="P764" s="1"/>
      <c r="U764" s="1"/>
    </row>
    <row r="765" spans="1:21" x14ac:dyDescent="0.3">
      <c r="A765" s="11">
        <v>10003230</v>
      </c>
      <c r="B765" s="17" t="s">
        <v>96</v>
      </c>
      <c r="C765" s="18" t="s">
        <v>11</v>
      </c>
      <c r="D765" s="9">
        <v>46200</v>
      </c>
      <c r="E765" s="17" t="s">
        <v>126</v>
      </c>
      <c r="F765" s="12"/>
      <c r="G765" s="12"/>
      <c r="H765" s="13">
        <v>0</v>
      </c>
      <c r="I765" s="14">
        <v>0</v>
      </c>
      <c r="J765" s="15">
        <v>0</v>
      </c>
      <c r="K765" s="17" t="s">
        <v>116</v>
      </c>
      <c r="P765" s="1"/>
      <c r="U765" s="1"/>
    </row>
    <row r="766" spans="1:21" x14ac:dyDescent="0.3">
      <c r="A766" s="11">
        <v>10003230</v>
      </c>
      <c r="B766" s="17" t="s">
        <v>96</v>
      </c>
      <c r="C766" s="18" t="s">
        <v>11</v>
      </c>
      <c r="D766" s="9">
        <v>46201</v>
      </c>
      <c r="E766" s="17" t="s">
        <v>113</v>
      </c>
      <c r="F766" s="12"/>
      <c r="G766" s="12"/>
      <c r="H766" s="13">
        <v>0</v>
      </c>
      <c r="I766" s="14">
        <v>0</v>
      </c>
      <c r="J766" s="15">
        <v>0</v>
      </c>
      <c r="K766" s="17" t="s">
        <v>116</v>
      </c>
      <c r="P766" s="1"/>
      <c r="U766" s="1"/>
    </row>
    <row r="767" spans="1:21" x14ac:dyDescent="0.3">
      <c r="A767" s="11">
        <v>10003230</v>
      </c>
      <c r="B767" s="17" t="s">
        <v>96</v>
      </c>
      <c r="C767" s="18" t="s">
        <v>11</v>
      </c>
      <c r="D767" s="9">
        <v>46202</v>
      </c>
      <c r="E767" s="17" t="s">
        <v>118</v>
      </c>
      <c r="F767" s="12">
        <v>0.34174768518518517</v>
      </c>
      <c r="G767" s="12">
        <v>0.7363425925925926</v>
      </c>
      <c r="H767" s="13">
        <v>9.4702777777777776</v>
      </c>
      <c r="I767" s="14">
        <v>9</v>
      </c>
      <c r="J767" s="15">
        <v>0.47027777777777757</v>
      </c>
      <c r="K767" s="17" t="s">
        <v>115</v>
      </c>
      <c r="P767" s="1"/>
      <c r="U767" s="1"/>
    </row>
    <row r="768" spans="1:21" x14ac:dyDescent="0.3">
      <c r="A768" s="11">
        <v>10003276</v>
      </c>
      <c r="B768" s="17" t="s">
        <v>97</v>
      </c>
      <c r="C768" s="18" t="s">
        <v>11</v>
      </c>
      <c r="D768" s="9">
        <v>46194</v>
      </c>
      <c r="E768" s="17" t="s">
        <v>113</v>
      </c>
      <c r="F768" s="12"/>
      <c r="G768" s="12"/>
      <c r="H768" s="13">
        <v>0</v>
      </c>
      <c r="I768" s="14">
        <v>0</v>
      </c>
      <c r="J768" s="15">
        <v>0</v>
      </c>
      <c r="K768" s="17" t="s">
        <v>116</v>
      </c>
      <c r="P768" s="1"/>
      <c r="U768" s="1"/>
    </row>
    <row r="769" spans="1:21" x14ac:dyDescent="0.3">
      <c r="A769" s="11">
        <v>10003276</v>
      </c>
      <c r="B769" s="17" t="s">
        <v>97</v>
      </c>
      <c r="C769" s="18" t="s">
        <v>11</v>
      </c>
      <c r="D769" s="9">
        <v>46195</v>
      </c>
      <c r="E769" s="17" t="s">
        <v>118</v>
      </c>
      <c r="F769" s="12">
        <v>0.34803240740740743</v>
      </c>
      <c r="G769" s="12">
        <v>0.73495370370370372</v>
      </c>
      <c r="H769" s="13">
        <v>9.2861111111111114</v>
      </c>
      <c r="I769" s="14">
        <v>9</v>
      </c>
      <c r="J769" s="15">
        <v>0.28611111111111143</v>
      </c>
      <c r="K769" s="17" t="s">
        <v>115</v>
      </c>
      <c r="P769" s="1"/>
      <c r="U769" s="1"/>
    </row>
    <row r="770" spans="1:21" x14ac:dyDescent="0.3">
      <c r="A770" s="11">
        <v>10003276</v>
      </c>
      <c r="B770" s="17" t="s">
        <v>97</v>
      </c>
      <c r="C770" s="18" t="s">
        <v>11</v>
      </c>
      <c r="D770" s="9">
        <v>46196</v>
      </c>
      <c r="E770" s="17" t="s">
        <v>119</v>
      </c>
      <c r="F770" s="12">
        <v>0.75653935185185184</v>
      </c>
      <c r="G770" s="12">
        <v>0.75653935185185184</v>
      </c>
      <c r="H770" s="13">
        <v>0</v>
      </c>
      <c r="I770" s="14">
        <v>9</v>
      </c>
      <c r="J770" s="15">
        <v>-9</v>
      </c>
      <c r="K770" s="17" t="s">
        <v>67</v>
      </c>
      <c r="P770" s="1"/>
      <c r="U770" s="1"/>
    </row>
    <row r="771" spans="1:21" x14ac:dyDescent="0.3">
      <c r="A771" s="11">
        <v>10003276</v>
      </c>
      <c r="B771" s="17" t="s">
        <v>97</v>
      </c>
      <c r="C771" s="18" t="s">
        <v>11</v>
      </c>
      <c r="D771" s="9">
        <v>46197</v>
      </c>
      <c r="E771" s="17" t="s">
        <v>123</v>
      </c>
      <c r="F771" s="12">
        <v>0.34452546296296294</v>
      </c>
      <c r="G771" s="12">
        <v>0.75835648148148149</v>
      </c>
      <c r="H771" s="13">
        <v>9.9319444444444454</v>
      </c>
      <c r="I771" s="14">
        <v>9</v>
      </c>
      <c r="J771" s="15">
        <v>0.93194444444444535</v>
      </c>
      <c r="K771" s="17" t="s">
        <v>115</v>
      </c>
      <c r="P771" s="1"/>
      <c r="U771" s="1"/>
    </row>
    <row r="772" spans="1:21" x14ac:dyDescent="0.3">
      <c r="A772" s="11">
        <v>10003276</v>
      </c>
      <c r="B772" s="17" t="s">
        <v>97</v>
      </c>
      <c r="C772" s="18" t="s">
        <v>11</v>
      </c>
      <c r="D772" s="9">
        <v>46198</v>
      </c>
      <c r="E772" s="17" t="s">
        <v>124</v>
      </c>
      <c r="F772" s="12">
        <v>0.75473379629629633</v>
      </c>
      <c r="G772" s="12">
        <v>0.75473379629629633</v>
      </c>
      <c r="H772" s="13">
        <v>0</v>
      </c>
      <c r="I772" s="14">
        <v>9</v>
      </c>
      <c r="J772" s="15">
        <v>-9</v>
      </c>
      <c r="K772" s="17" t="s">
        <v>67</v>
      </c>
      <c r="P772" s="1"/>
      <c r="U772" s="1"/>
    </row>
    <row r="773" spans="1:21" x14ac:dyDescent="0.3">
      <c r="A773" s="11">
        <v>10003276</v>
      </c>
      <c r="B773" s="17" t="s">
        <v>97</v>
      </c>
      <c r="C773" s="18" t="s">
        <v>11</v>
      </c>
      <c r="D773" s="9">
        <v>46199</v>
      </c>
      <c r="E773" s="17" t="s">
        <v>125</v>
      </c>
      <c r="F773" s="12">
        <v>0.52884259259259259</v>
      </c>
      <c r="G773" s="12">
        <v>0.52884259259259259</v>
      </c>
      <c r="H773" s="13">
        <v>0</v>
      </c>
      <c r="I773" s="14">
        <v>4</v>
      </c>
      <c r="J773" s="15">
        <v>-4</v>
      </c>
      <c r="K773" s="17" t="s">
        <v>67</v>
      </c>
      <c r="P773" s="1"/>
      <c r="U773" s="1"/>
    </row>
    <row r="774" spans="1:21" x14ac:dyDescent="0.3">
      <c r="A774" s="11">
        <v>10003276</v>
      </c>
      <c r="B774" s="17" t="s">
        <v>97</v>
      </c>
      <c r="C774" s="18" t="s">
        <v>11</v>
      </c>
      <c r="D774" s="9">
        <v>46200</v>
      </c>
      <c r="E774" s="17" t="s">
        <v>126</v>
      </c>
      <c r="F774" s="12"/>
      <c r="G774" s="12"/>
      <c r="H774" s="13">
        <v>0</v>
      </c>
      <c r="I774" s="14">
        <v>0</v>
      </c>
      <c r="J774" s="15">
        <v>0</v>
      </c>
      <c r="K774" s="17" t="s">
        <v>116</v>
      </c>
      <c r="P774" s="1"/>
      <c r="U774" s="1"/>
    </row>
    <row r="775" spans="1:21" x14ac:dyDescent="0.3">
      <c r="A775" s="11">
        <v>10003276</v>
      </c>
      <c r="B775" s="17" t="s">
        <v>97</v>
      </c>
      <c r="C775" s="18" t="s">
        <v>11</v>
      </c>
      <c r="D775" s="9">
        <v>46201</v>
      </c>
      <c r="E775" s="17" t="s">
        <v>113</v>
      </c>
      <c r="F775" s="12"/>
      <c r="G775" s="12"/>
      <c r="H775" s="13">
        <v>0</v>
      </c>
      <c r="I775" s="14">
        <v>0</v>
      </c>
      <c r="J775" s="15">
        <v>0</v>
      </c>
      <c r="K775" s="17" t="s">
        <v>116</v>
      </c>
      <c r="P775" s="1"/>
      <c r="U775" s="1"/>
    </row>
    <row r="776" spans="1:21" x14ac:dyDescent="0.3">
      <c r="A776" s="11">
        <v>10003276</v>
      </c>
      <c r="B776" s="17" t="s">
        <v>97</v>
      </c>
      <c r="C776" s="18" t="s">
        <v>11</v>
      </c>
      <c r="D776" s="9">
        <v>46202</v>
      </c>
      <c r="E776" s="17" t="s">
        <v>118</v>
      </c>
      <c r="F776" s="12">
        <v>0.3427546296296296</v>
      </c>
      <c r="G776" s="12">
        <v>0.3427546296296296</v>
      </c>
      <c r="H776" s="13">
        <v>0</v>
      </c>
      <c r="I776" s="14">
        <v>9</v>
      </c>
      <c r="J776" s="15">
        <v>-9</v>
      </c>
      <c r="K776" s="17" t="s">
        <v>67</v>
      </c>
      <c r="P776" s="1"/>
      <c r="U776" s="1"/>
    </row>
    <row r="777" spans="1:21" x14ac:dyDescent="0.3">
      <c r="A777" s="11">
        <v>10003281</v>
      </c>
      <c r="B777" s="17" t="s">
        <v>98</v>
      </c>
      <c r="C777" s="18" t="s">
        <v>13</v>
      </c>
      <c r="D777" s="9">
        <v>46194</v>
      </c>
      <c r="E777" s="17" t="s">
        <v>113</v>
      </c>
      <c r="F777" s="12"/>
      <c r="G777" s="12"/>
      <c r="H777" s="13">
        <v>0</v>
      </c>
      <c r="I777" s="14">
        <v>8.5</v>
      </c>
      <c r="J777" s="15">
        <v>-8.5</v>
      </c>
      <c r="K777" s="17" t="s">
        <v>68</v>
      </c>
      <c r="P777" s="1"/>
      <c r="U777" s="1"/>
    </row>
    <row r="778" spans="1:21" x14ac:dyDescent="0.3">
      <c r="A778" s="11">
        <v>10003281</v>
      </c>
      <c r="B778" s="17" t="s">
        <v>98</v>
      </c>
      <c r="C778" s="18" t="s">
        <v>13</v>
      </c>
      <c r="D778" s="9">
        <v>46195</v>
      </c>
      <c r="E778" s="17" t="s">
        <v>118</v>
      </c>
      <c r="F778" s="12">
        <v>0.34697916666666667</v>
      </c>
      <c r="G778" s="12">
        <v>0.67804398148148148</v>
      </c>
      <c r="H778" s="13">
        <v>7.9455555555555559</v>
      </c>
      <c r="I778" s="14">
        <v>8.5</v>
      </c>
      <c r="J778" s="15">
        <v>-0.55444444444444407</v>
      </c>
      <c r="K778" s="17" t="s">
        <v>112</v>
      </c>
      <c r="P778" s="1"/>
      <c r="U778" s="1"/>
    </row>
    <row r="779" spans="1:21" x14ac:dyDescent="0.3">
      <c r="A779" s="11">
        <v>10003281</v>
      </c>
      <c r="B779" s="17" t="s">
        <v>98</v>
      </c>
      <c r="C779" s="18" t="s">
        <v>13</v>
      </c>
      <c r="D779" s="9">
        <v>46196</v>
      </c>
      <c r="E779" s="17" t="s">
        <v>119</v>
      </c>
      <c r="F779" s="12">
        <v>0.35533564814814816</v>
      </c>
      <c r="G779" s="12">
        <v>0.7099537037037037</v>
      </c>
      <c r="H779" s="13">
        <v>8.5108333333333324</v>
      </c>
      <c r="I779" s="14">
        <v>8.5</v>
      </c>
      <c r="J779" s="15">
        <v>1.0833333333332362E-2</v>
      </c>
      <c r="K779" s="17" t="s">
        <v>120</v>
      </c>
      <c r="P779" s="1"/>
      <c r="U779" s="1"/>
    </row>
    <row r="780" spans="1:21" x14ac:dyDescent="0.3">
      <c r="A780" s="11">
        <v>10003281</v>
      </c>
      <c r="B780" s="17" t="s">
        <v>98</v>
      </c>
      <c r="C780" s="18" t="s">
        <v>13</v>
      </c>
      <c r="D780" s="9">
        <v>46197</v>
      </c>
      <c r="E780" s="17" t="s">
        <v>123</v>
      </c>
      <c r="F780" s="12">
        <v>0.35412037037037036</v>
      </c>
      <c r="G780" s="12">
        <v>0.69878472222222221</v>
      </c>
      <c r="H780" s="13">
        <v>8.2719444444444434</v>
      </c>
      <c r="I780" s="14">
        <v>8.5</v>
      </c>
      <c r="J780" s="15">
        <v>-0.22805555555555657</v>
      </c>
      <c r="K780" s="17" t="s">
        <v>111</v>
      </c>
      <c r="P780" s="1"/>
      <c r="U780" s="1"/>
    </row>
    <row r="781" spans="1:21" x14ac:dyDescent="0.3">
      <c r="A781" s="11">
        <v>10003281</v>
      </c>
      <c r="B781" s="17" t="s">
        <v>98</v>
      </c>
      <c r="C781" s="18" t="s">
        <v>13</v>
      </c>
      <c r="D781" s="9">
        <v>46198</v>
      </c>
      <c r="E781" s="17" t="s">
        <v>124</v>
      </c>
      <c r="F781" s="12">
        <v>0.34460648148148149</v>
      </c>
      <c r="G781" s="12">
        <v>0.71202546296296299</v>
      </c>
      <c r="H781" s="13">
        <v>8.8180555555555564</v>
      </c>
      <c r="I781" s="14">
        <v>8.5</v>
      </c>
      <c r="J781" s="15">
        <v>0.31805555555555642</v>
      </c>
      <c r="K781" s="17" t="s">
        <v>115</v>
      </c>
      <c r="P781" s="1"/>
      <c r="U781" s="1"/>
    </row>
    <row r="782" spans="1:21" x14ac:dyDescent="0.3">
      <c r="A782" s="11">
        <v>10003281</v>
      </c>
      <c r="B782" s="17" t="s">
        <v>98</v>
      </c>
      <c r="C782" s="18" t="s">
        <v>13</v>
      </c>
      <c r="D782" s="9">
        <v>46199</v>
      </c>
      <c r="E782" s="17" t="s">
        <v>125</v>
      </c>
      <c r="F782" s="12">
        <v>0.35673611111111109</v>
      </c>
      <c r="G782" s="12">
        <v>0.35673611111111109</v>
      </c>
      <c r="H782" s="13">
        <v>0</v>
      </c>
      <c r="I782" s="14">
        <v>3</v>
      </c>
      <c r="J782" s="15">
        <v>-3</v>
      </c>
      <c r="K782" s="17" t="s">
        <v>67</v>
      </c>
      <c r="P782" s="1"/>
      <c r="U782" s="1"/>
    </row>
    <row r="783" spans="1:21" x14ac:dyDescent="0.3">
      <c r="A783" s="11">
        <v>10003281</v>
      </c>
      <c r="B783" s="17" t="s">
        <v>98</v>
      </c>
      <c r="C783" s="18" t="s">
        <v>13</v>
      </c>
      <c r="D783" s="9">
        <v>46200</v>
      </c>
      <c r="E783" s="17" t="s">
        <v>126</v>
      </c>
      <c r="F783" s="12"/>
      <c r="G783" s="12"/>
      <c r="H783" s="13">
        <v>0</v>
      </c>
      <c r="I783" s="14">
        <v>0</v>
      </c>
      <c r="J783" s="15">
        <v>0</v>
      </c>
      <c r="K783" s="17" t="s">
        <v>116</v>
      </c>
      <c r="P783" s="1"/>
      <c r="U783" s="1"/>
    </row>
    <row r="784" spans="1:21" x14ac:dyDescent="0.3">
      <c r="A784" s="11">
        <v>10003281</v>
      </c>
      <c r="B784" s="17" t="s">
        <v>98</v>
      </c>
      <c r="C784" s="18" t="s">
        <v>13</v>
      </c>
      <c r="D784" s="9">
        <v>46201</v>
      </c>
      <c r="E784" s="17" t="s">
        <v>113</v>
      </c>
      <c r="F784" s="12"/>
      <c r="G784" s="12"/>
      <c r="H784" s="13">
        <v>0</v>
      </c>
      <c r="I784" s="14">
        <v>8.5</v>
      </c>
      <c r="J784" s="15">
        <v>-8.5</v>
      </c>
      <c r="K784" s="17" t="s">
        <v>68</v>
      </c>
      <c r="P784" s="1"/>
      <c r="U784" s="1"/>
    </row>
    <row r="785" spans="1:21" x14ac:dyDescent="0.3">
      <c r="A785" s="11">
        <v>10003281</v>
      </c>
      <c r="B785" s="17" t="s">
        <v>98</v>
      </c>
      <c r="C785" s="18" t="s">
        <v>13</v>
      </c>
      <c r="D785" s="9">
        <v>46202</v>
      </c>
      <c r="E785" s="17" t="s">
        <v>118</v>
      </c>
      <c r="F785" s="12">
        <v>0.35641203703703705</v>
      </c>
      <c r="G785" s="12">
        <v>0.68398148148148152</v>
      </c>
      <c r="H785" s="13">
        <v>7.8616666666666672</v>
      </c>
      <c r="I785" s="14">
        <v>8.5</v>
      </c>
      <c r="J785" s="15">
        <v>-0.63833333333333275</v>
      </c>
      <c r="K785" s="17" t="s">
        <v>122</v>
      </c>
      <c r="P785" s="1"/>
      <c r="U785" s="1"/>
    </row>
    <row r="786" spans="1:21" x14ac:dyDescent="0.3">
      <c r="A786" s="11">
        <v>10003318</v>
      </c>
      <c r="B786" s="17" t="s">
        <v>101</v>
      </c>
      <c r="C786" s="18" t="s">
        <v>13</v>
      </c>
      <c r="D786" s="9">
        <v>46194</v>
      </c>
      <c r="E786" s="17" t="s">
        <v>113</v>
      </c>
      <c r="F786" s="12">
        <v>0.32880787037037035</v>
      </c>
      <c r="G786" s="12">
        <v>0.67677083333333332</v>
      </c>
      <c r="H786" s="13">
        <v>8.3511111111111109</v>
      </c>
      <c r="I786" s="14">
        <v>8.5</v>
      </c>
      <c r="J786" s="15">
        <v>-0.14888888888888907</v>
      </c>
      <c r="K786" s="17" t="s">
        <v>112</v>
      </c>
      <c r="P786" s="1"/>
      <c r="U786" s="1"/>
    </row>
    <row r="787" spans="1:21" x14ac:dyDescent="0.3">
      <c r="A787" s="11">
        <v>10003318</v>
      </c>
      <c r="B787" s="17" t="s">
        <v>101</v>
      </c>
      <c r="C787" s="18" t="s">
        <v>13</v>
      </c>
      <c r="D787" s="9">
        <v>46195</v>
      </c>
      <c r="E787" s="17" t="s">
        <v>118</v>
      </c>
      <c r="F787" s="12">
        <v>0.31246527777777777</v>
      </c>
      <c r="G787" s="12">
        <v>0.69475694444444447</v>
      </c>
      <c r="H787" s="13">
        <v>9.1750000000000007</v>
      </c>
      <c r="I787" s="14">
        <v>8.5</v>
      </c>
      <c r="J787" s="15">
        <v>0.67500000000000071</v>
      </c>
      <c r="K787" s="17" t="s">
        <v>115</v>
      </c>
      <c r="P787" s="1"/>
      <c r="U787" s="1"/>
    </row>
    <row r="788" spans="1:21" x14ac:dyDescent="0.3">
      <c r="A788" s="11">
        <v>10003318</v>
      </c>
      <c r="B788" s="17" t="s">
        <v>101</v>
      </c>
      <c r="C788" s="18" t="s">
        <v>13</v>
      </c>
      <c r="D788" s="9">
        <v>46196</v>
      </c>
      <c r="E788" s="17" t="s">
        <v>119</v>
      </c>
      <c r="F788" s="12">
        <v>0.33765046296296297</v>
      </c>
      <c r="G788" s="12">
        <v>0.69960648148148152</v>
      </c>
      <c r="H788" s="13">
        <v>8.6869444444444461</v>
      </c>
      <c r="I788" s="14">
        <v>8.5</v>
      </c>
      <c r="J788" s="15">
        <v>0.18694444444444613</v>
      </c>
      <c r="K788" s="17" t="s">
        <v>115</v>
      </c>
      <c r="P788" s="1"/>
      <c r="U788" s="1"/>
    </row>
    <row r="789" spans="1:21" x14ac:dyDescent="0.3">
      <c r="A789" s="11">
        <v>10003318</v>
      </c>
      <c r="B789" s="17" t="s">
        <v>101</v>
      </c>
      <c r="C789" s="18" t="s">
        <v>13</v>
      </c>
      <c r="D789" s="9">
        <v>46197</v>
      </c>
      <c r="E789" s="17" t="s">
        <v>123</v>
      </c>
      <c r="F789" s="12">
        <v>0.32719907407407406</v>
      </c>
      <c r="G789" s="12">
        <v>0.69092592592592594</v>
      </c>
      <c r="H789" s="13">
        <v>8.7294444444444448</v>
      </c>
      <c r="I789" s="14">
        <v>8.5</v>
      </c>
      <c r="J789" s="15">
        <v>0.22944444444444478</v>
      </c>
      <c r="K789" s="17" t="s">
        <v>115</v>
      </c>
      <c r="P789" s="1"/>
      <c r="U789" s="1"/>
    </row>
    <row r="790" spans="1:21" x14ac:dyDescent="0.3">
      <c r="A790" s="11">
        <v>10003318</v>
      </c>
      <c r="B790" s="17" t="s">
        <v>101</v>
      </c>
      <c r="C790" s="18" t="s">
        <v>13</v>
      </c>
      <c r="D790" s="9">
        <v>46198</v>
      </c>
      <c r="E790" s="17" t="s">
        <v>124</v>
      </c>
      <c r="F790" s="12">
        <v>0.32386574074074076</v>
      </c>
      <c r="G790" s="12">
        <v>0.69690972222222225</v>
      </c>
      <c r="H790" s="13">
        <v>8.9530555555555562</v>
      </c>
      <c r="I790" s="14">
        <v>8.5</v>
      </c>
      <c r="J790" s="15">
        <v>0.45305555555555621</v>
      </c>
      <c r="K790" s="17" t="s">
        <v>115</v>
      </c>
      <c r="P790" s="1"/>
      <c r="U790" s="1"/>
    </row>
    <row r="791" spans="1:21" x14ac:dyDescent="0.3">
      <c r="A791" s="11">
        <v>10003318</v>
      </c>
      <c r="B791" s="17" t="s">
        <v>101</v>
      </c>
      <c r="C791" s="18" t="s">
        <v>13</v>
      </c>
      <c r="D791" s="9">
        <v>46199</v>
      </c>
      <c r="E791" s="17" t="s">
        <v>125</v>
      </c>
      <c r="F791" s="12">
        <v>0.33136574074074077</v>
      </c>
      <c r="G791" s="12">
        <v>0.48569444444444443</v>
      </c>
      <c r="H791" s="13">
        <v>3.7038888888888879</v>
      </c>
      <c r="I791" s="14">
        <v>3</v>
      </c>
      <c r="J791" s="15">
        <v>0.7038888888888879</v>
      </c>
      <c r="K791" s="17" t="s">
        <v>127</v>
      </c>
      <c r="P791" s="1"/>
      <c r="U791" s="1"/>
    </row>
    <row r="792" spans="1:21" x14ac:dyDescent="0.3">
      <c r="A792" s="11">
        <v>10003318</v>
      </c>
      <c r="B792" s="17" t="s">
        <v>101</v>
      </c>
      <c r="C792" s="18" t="s">
        <v>13</v>
      </c>
      <c r="D792" s="9">
        <v>46200</v>
      </c>
      <c r="E792" s="17" t="s">
        <v>126</v>
      </c>
      <c r="F792" s="12"/>
      <c r="G792" s="12"/>
      <c r="H792" s="13">
        <v>0</v>
      </c>
      <c r="I792" s="14">
        <v>0</v>
      </c>
      <c r="J792" s="15">
        <v>0</v>
      </c>
      <c r="K792" s="17" t="s">
        <v>116</v>
      </c>
      <c r="P792" s="1"/>
      <c r="U792" s="1"/>
    </row>
    <row r="793" spans="1:21" x14ac:dyDescent="0.3">
      <c r="A793" s="11">
        <v>10003318</v>
      </c>
      <c r="B793" s="17" t="s">
        <v>101</v>
      </c>
      <c r="C793" s="18" t="s">
        <v>13</v>
      </c>
      <c r="D793" s="9">
        <v>46201</v>
      </c>
      <c r="E793" s="17" t="s">
        <v>113</v>
      </c>
      <c r="F793" s="12">
        <v>0.32116898148148149</v>
      </c>
      <c r="G793" s="12">
        <v>0.68013888888888885</v>
      </c>
      <c r="H793" s="13">
        <v>8.6152777777777771</v>
      </c>
      <c r="I793" s="14">
        <v>8.5</v>
      </c>
      <c r="J793" s="15">
        <v>0.11527777777777715</v>
      </c>
      <c r="K793" s="17" t="s">
        <v>127</v>
      </c>
      <c r="P793" s="1"/>
      <c r="U793" s="1"/>
    </row>
    <row r="794" spans="1:21" x14ac:dyDescent="0.3">
      <c r="A794" s="11">
        <v>10003318</v>
      </c>
      <c r="B794" s="17" t="s">
        <v>101</v>
      </c>
      <c r="C794" s="18" t="s">
        <v>13</v>
      </c>
      <c r="D794" s="9">
        <v>46202</v>
      </c>
      <c r="E794" s="17" t="s">
        <v>118</v>
      </c>
      <c r="F794" s="12">
        <v>0.33003472222222224</v>
      </c>
      <c r="G794" s="12">
        <v>0.69261574074074073</v>
      </c>
      <c r="H794" s="13">
        <v>8.7019444444444431</v>
      </c>
      <c r="I794" s="14">
        <v>8.5</v>
      </c>
      <c r="J794" s="15">
        <v>0.20194444444444315</v>
      </c>
      <c r="K794" s="17" t="s">
        <v>115</v>
      </c>
      <c r="P794" s="1"/>
      <c r="U794" s="1"/>
    </row>
    <row r="795" spans="1:21" x14ac:dyDescent="0.3">
      <c r="A795" s="11">
        <v>10003430</v>
      </c>
      <c r="B795" s="17" t="s">
        <v>104</v>
      </c>
      <c r="C795" s="18" t="s">
        <v>100</v>
      </c>
      <c r="D795" s="9">
        <v>46194</v>
      </c>
      <c r="E795" s="17" t="s">
        <v>113</v>
      </c>
      <c r="F795" s="12"/>
      <c r="G795" s="12"/>
      <c r="H795" s="13">
        <v>0</v>
      </c>
      <c r="I795" s="14">
        <v>0</v>
      </c>
      <c r="J795" s="15">
        <v>0</v>
      </c>
      <c r="K795" s="17" t="s">
        <v>116</v>
      </c>
      <c r="P795" s="1"/>
      <c r="U795" s="1"/>
    </row>
    <row r="796" spans="1:21" x14ac:dyDescent="0.3">
      <c r="A796" s="11">
        <v>10003430</v>
      </c>
      <c r="B796" s="17" t="s">
        <v>104</v>
      </c>
      <c r="C796" s="18" t="s">
        <v>100</v>
      </c>
      <c r="D796" s="9">
        <v>46195</v>
      </c>
      <c r="E796" s="17" t="s">
        <v>118</v>
      </c>
      <c r="F796" s="12">
        <v>0.35293981481481479</v>
      </c>
      <c r="G796" s="12">
        <v>0.72956018518518517</v>
      </c>
      <c r="H796" s="13">
        <v>9.0388888888888896</v>
      </c>
      <c r="I796" s="14">
        <v>9</v>
      </c>
      <c r="J796" s="15">
        <v>3.8888888888889639E-2</v>
      </c>
      <c r="K796" s="17" t="s">
        <v>115</v>
      </c>
      <c r="P796" s="1"/>
      <c r="U796" s="1"/>
    </row>
    <row r="797" spans="1:21" x14ac:dyDescent="0.3">
      <c r="A797" s="11">
        <v>10003430</v>
      </c>
      <c r="B797" s="17" t="s">
        <v>104</v>
      </c>
      <c r="C797" s="18" t="s">
        <v>100</v>
      </c>
      <c r="D797" s="9">
        <v>46196</v>
      </c>
      <c r="E797" s="17" t="s">
        <v>119</v>
      </c>
      <c r="F797" s="12">
        <v>0.35216435185185185</v>
      </c>
      <c r="G797" s="12">
        <v>0.77057870370370374</v>
      </c>
      <c r="H797" s="13">
        <v>10.041944444444445</v>
      </c>
      <c r="I797" s="14">
        <v>9</v>
      </c>
      <c r="J797" s="15">
        <v>1.0419444444444448</v>
      </c>
      <c r="K797" s="17" t="s">
        <v>115</v>
      </c>
      <c r="P797" s="1"/>
      <c r="U797" s="1"/>
    </row>
    <row r="798" spans="1:21" x14ac:dyDescent="0.3">
      <c r="A798" s="11">
        <v>10003430</v>
      </c>
      <c r="B798" s="17" t="s">
        <v>104</v>
      </c>
      <c r="C798" s="18" t="s">
        <v>100</v>
      </c>
      <c r="D798" s="9">
        <v>46197</v>
      </c>
      <c r="E798" s="17" t="s">
        <v>123</v>
      </c>
      <c r="F798" s="12">
        <v>0.35275462962962961</v>
      </c>
      <c r="G798" s="12">
        <v>0.78703703703703709</v>
      </c>
      <c r="H798" s="13">
        <v>10.42277777777778</v>
      </c>
      <c r="I798" s="14">
        <v>9</v>
      </c>
      <c r="J798" s="15">
        <v>1.4227777777777799</v>
      </c>
      <c r="K798" s="17" t="s">
        <v>115</v>
      </c>
      <c r="P798" s="1"/>
      <c r="U798" s="1"/>
    </row>
    <row r="799" spans="1:21" x14ac:dyDescent="0.3">
      <c r="A799" s="11">
        <v>10003430</v>
      </c>
      <c r="B799" s="17" t="s">
        <v>104</v>
      </c>
      <c r="C799" s="18" t="s">
        <v>100</v>
      </c>
      <c r="D799" s="9">
        <v>46198</v>
      </c>
      <c r="E799" s="17" t="s">
        <v>124</v>
      </c>
      <c r="F799" s="12">
        <v>0.35358796296296297</v>
      </c>
      <c r="G799" s="12">
        <v>0.77493055555555557</v>
      </c>
      <c r="H799" s="13">
        <v>10.112222222222222</v>
      </c>
      <c r="I799" s="14">
        <v>9</v>
      </c>
      <c r="J799" s="15">
        <v>1.112222222222222</v>
      </c>
      <c r="K799" s="17" t="s">
        <v>115</v>
      </c>
      <c r="P799" s="1"/>
      <c r="U799" s="1"/>
    </row>
    <row r="800" spans="1:21" x14ac:dyDescent="0.3">
      <c r="A800" s="11">
        <v>10003430</v>
      </c>
      <c r="B800" s="17" t="s">
        <v>104</v>
      </c>
      <c r="C800" s="18" t="s">
        <v>100</v>
      </c>
      <c r="D800" s="9">
        <v>46199</v>
      </c>
      <c r="E800" s="17" t="s">
        <v>125</v>
      </c>
      <c r="F800" s="12">
        <v>0.35327546296296297</v>
      </c>
      <c r="G800" s="12">
        <v>0.55732638888888886</v>
      </c>
      <c r="H800" s="13">
        <v>4.8972222222222213</v>
      </c>
      <c r="I800" s="14">
        <v>4</v>
      </c>
      <c r="J800" s="15">
        <v>0.89722222222222126</v>
      </c>
      <c r="K800" s="17" t="s">
        <v>115</v>
      </c>
      <c r="P800" s="1"/>
      <c r="U800" s="1"/>
    </row>
    <row r="801" spans="1:21" x14ac:dyDescent="0.3">
      <c r="A801" s="11">
        <v>10003430</v>
      </c>
      <c r="B801" s="17" t="s">
        <v>104</v>
      </c>
      <c r="C801" s="18" t="s">
        <v>100</v>
      </c>
      <c r="D801" s="9">
        <v>46200</v>
      </c>
      <c r="E801" s="17" t="s">
        <v>126</v>
      </c>
      <c r="F801" s="12"/>
      <c r="G801" s="12"/>
      <c r="H801" s="13">
        <v>0</v>
      </c>
      <c r="I801" s="14">
        <v>0</v>
      </c>
      <c r="J801" s="15">
        <v>0</v>
      </c>
      <c r="K801" s="17" t="s">
        <v>116</v>
      </c>
      <c r="P801" s="1"/>
      <c r="U801" s="1"/>
    </row>
    <row r="802" spans="1:21" x14ac:dyDescent="0.3">
      <c r="A802" s="11">
        <v>10003430</v>
      </c>
      <c r="B802" s="17" t="s">
        <v>104</v>
      </c>
      <c r="C802" s="18" t="s">
        <v>100</v>
      </c>
      <c r="D802" s="9">
        <v>46201</v>
      </c>
      <c r="E802" s="17" t="s">
        <v>113</v>
      </c>
      <c r="F802" s="12"/>
      <c r="G802" s="12"/>
      <c r="H802" s="13">
        <v>0</v>
      </c>
      <c r="I802" s="14">
        <v>0</v>
      </c>
      <c r="J802" s="15">
        <v>0</v>
      </c>
      <c r="K802" s="17" t="s">
        <v>116</v>
      </c>
      <c r="P802" s="1"/>
      <c r="U802" s="1"/>
    </row>
    <row r="803" spans="1:21" x14ac:dyDescent="0.3">
      <c r="A803" s="11">
        <v>10003430</v>
      </c>
      <c r="B803" s="17" t="s">
        <v>104</v>
      </c>
      <c r="C803" s="18" t="s">
        <v>100</v>
      </c>
      <c r="D803" s="9">
        <v>46202</v>
      </c>
      <c r="E803" s="17" t="s">
        <v>118</v>
      </c>
      <c r="F803" s="12">
        <v>0.35334490740740743</v>
      </c>
      <c r="G803" s="12">
        <v>0.76731481481481478</v>
      </c>
      <c r="H803" s="13">
        <v>9.9352777777777774</v>
      </c>
      <c r="I803" s="14">
        <v>9</v>
      </c>
      <c r="J803" s="15">
        <v>0.93527777777777743</v>
      </c>
      <c r="K803" s="17" t="s">
        <v>115</v>
      </c>
      <c r="P803" s="1"/>
      <c r="U803" s="1"/>
    </row>
    <row r="804" spans="1:21" x14ac:dyDescent="0.3">
      <c r="A804" s="11">
        <v>10003444</v>
      </c>
      <c r="B804" s="17" t="s">
        <v>105</v>
      </c>
      <c r="C804" s="18" t="s">
        <v>11</v>
      </c>
      <c r="D804" s="9">
        <v>46194</v>
      </c>
      <c r="E804" s="17" t="s">
        <v>113</v>
      </c>
      <c r="F804" s="12"/>
      <c r="G804" s="12"/>
      <c r="H804" s="13">
        <v>0</v>
      </c>
      <c r="I804" s="14">
        <v>0</v>
      </c>
      <c r="J804" s="15">
        <v>0</v>
      </c>
      <c r="K804" s="17" t="s">
        <v>116</v>
      </c>
      <c r="P804" s="1"/>
      <c r="U804" s="1"/>
    </row>
    <row r="805" spans="1:21" x14ac:dyDescent="0.3">
      <c r="A805" s="11">
        <v>10003444</v>
      </c>
      <c r="B805" s="17" t="s">
        <v>105</v>
      </c>
      <c r="C805" s="18" t="s">
        <v>11</v>
      </c>
      <c r="D805" s="9">
        <v>46195</v>
      </c>
      <c r="E805" s="17" t="s">
        <v>118</v>
      </c>
      <c r="F805" s="12">
        <v>0.35358796296296297</v>
      </c>
      <c r="G805" s="12">
        <v>0.73789351851851848</v>
      </c>
      <c r="H805" s="13">
        <v>9.2233333333333327</v>
      </c>
      <c r="I805" s="14">
        <v>9</v>
      </c>
      <c r="J805" s="15">
        <v>0.22333333333333272</v>
      </c>
      <c r="K805" s="17" t="s">
        <v>115</v>
      </c>
      <c r="P805" s="1"/>
      <c r="U805" s="1"/>
    </row>
    <row r="806" spans="1:21" x14ac:dyDescent="0.3">
      <c r="A806" s="11">
        <v>10003444</v>
      </c>
      <c r="B806" s="17" t="s">
        <v>105</v>
      </c>
      <c r="C806" s="18" t="s">
        <v>11</v>
      </c>
      <c r="D806" s="9">
        <v>46196</v>
      </c>
      <c r="E806" s="17" t="s">
        <v>119</v>
      </c>
      <c r="F806" s="12">
        <v>0.35287037037037039</v>
      </c>
      <c r="G806" s="12">
        <v>0.73064814814814816</v>
      </c>
      <c r="H806" s="13">
        <v>9.0666666666666664</v>
      </c>
      <c r="I806" s="14">
        <v>9</v>
      </c>
      <c r="J806" s="15">
        <v>6.666666666666643E-2</v>
      </c>
      <c r="K806" s="17" t="s">
        <v>115</v>
      </c>
      <c r="P806" s="1"/>
      <c r="U806" s="1"/>
    </row>
    <row r="807" spans="1:21" x14ac:dyDescent="0.3">
      <c r="A807" s="11">
        <v>10003444</v>
      </c>
      <c r="B807" s="17" t="s">
        <v>105</v>
      </c>
      <c r="C807" s="18" t="s">
        <v>11</v>
      </c>
      <c r="D807" s="9">
        <v>46197</v>
      </c>
      <c r="E807" s="17" t="s">
        <v>123</v>
      </c>
      <c r="F807" s="12">
        <v>0.35405092592592591</v>
      </c>
      <c r="G807" s="12">
        <v>0.72980324074074077</v>
      </c>
      <c r="H807" s="13">
        <v>9.0180555555555557</v>
      </c>
      <c r="I807" s="14">
        <v>9</v>
      </c>
      <c r="J807" s="15">
        <v>1.8055555555555713E-2</v>
      </c>
      <c r="K807" s="17" t="s">
        <v>115</v>
      </c>
      <c r="P807" s="1"/>
      <c r="U807" s="1"/>
    </row>
    <row r="808" spans="1:21" x14ac:dyDescent="0.3">
      <c r="A808" s="11">
        <v>10003444</v>
      </c>
      <c r="B808" s="17" t="s">
        <v>105</v>
      </c>
      <c r="C808" s="18" t="s">
        <v>11</v>
      </c>
      <c r="D808" s="9">
        <v>46198</v>
      </c>
      <c r="E808" s="17" t="s">
        <v>124</v>
      </c>
      <c r="F808" s="12">
        <v>0.35368055555555555</v>
      </c>
      <c r="G808" s="12">
        <v>0.73324074074074075</v>
      </c>
      <c r="H808" s="13">
        <v>9.1094444444444456</v>
      </c>
      <c r="I808" s="14">
        <v>9</v>
      </c>
      <c r="J808" s="15">
        <v>0.10944444444444557</v>
      </c>
      <c r="K808" s="17" t="s">
        <v>115</v>
      </c>
      <c r="P808" s="1"/>
      <c r="U808" s="1"/>
    </row>
    <row r="809" spans="1:21" x14ac:dyDescent="0.3">
      <c r="A809" s="11">
        <v>10003444</v>
      </c>
      <c r="B809" s="17" t="s">
        <v>105</v>
      </c>
      <c r="C809" s="18" t="s">
        <v>11</v>
      </c>
      <c r="D809" s="9">
        <v>46199</v>
      </c>
      <c r="E809" s="17" t="s">
        <v>125</v>
      </c>
      <c r="F809" s="12">
        <v>0.35357638888888887</v>
      </c>
      <c r="G809" s="12">
        <v>0.53204861111111112</v>
      </c>
      <c r="H809" s="13">
        <v>4.2833333333333341</v>
      </c>
      <c r="I809" s="14">
        <v>4</v>
      </c>
      <c r="J809" s="15">
        <v>0.2833333333333341</v>
      </c>
      <c r="K809" s="17" t="s">
        <v>115</v>
      </c>
      <c r="P809" s="1"/>
      <c r="U809" s="1"/>
    </row>
    <row r="810" spans="1:21" x14ac:dyDescent="0.3">
      <c r="A810" s="11">
        <v>10003444</v>
      </c>
      <c r="B810" s="17" t="s">
        <v>105</v>
      </c>
      <c r="C810" s="18" t="s">
        <v>11</v>
      </c>
      <c r="D810" s="9">
        <v>46200</v>
      </c>
      <c r="E810" s="17" t="s">
        <v>126</v>
      </c>
      <c r="F810" s="12"/>
      <c r="G810" s="12"/>
      <c r="H810" s="13">
        <v>0</v>
      </c>
      <c r="I810" s="14">
        <v>0</v>
      </c>
      <c r="J810" s="15">
        <v>0</v>
      </c>
      <c r="K810" s="17" t="s">
        <v>116</v>
      </c>
      <c r="P810" s="1"/>
      <c r="U810" s="1"/>
    </row>
    <row r="811" spans="1:21" x14ac:dyDescent="0.3">
      <c r="A811" s="11">
        <v>10003444</v>
      </c>
      <c r="B811" s="17" t="s">
        <v>105</v>
      </c>
      <c r="C811" s="18" t="s">
        <v>11</v>
      </c>
      <c r="D811" s="9">
        <v>46201</v>
      </c>
      <c r="E811" s="17" t="s">
        <v>113</v>
      </c>
      <c r="F811" s="12"/>
      <c r="G811" s="12"/>
      <c r="H811" s="13">
        <v>0</v>
      </c>
      <c r="I811" s="14">
        <v>0</v>
      </c>
      <c r="J811" s="15">
        <v>0</v>
      </c>
      <c r="K811" s="17" t="s">
        <v>116</v>
      </c>
      <c r="P811" s="1"/>
      <c r="U811" s="1"/>
    </row>
    <row r="812" spans="1:21" x14ac:dyDescent="0.3">
      <c r="A812" s="11">
        <v>10003444</v>
      </c>
      <c r="B812" s="17" t="s">
        <v>105</v>
      </c>
      <c r="C812" s="18" t="s">
        <v>11</v>
      </c>
      <c r="D812" s="9">
        <v>46202</v>
      </c>
      <c r="E812" s="17" t="s">
        <v>118</v>
      </c>
      <c r="F812" s="12">
        <v>0.35326388888888888</v>
      </c>
      <c r="G812" s="12">
        <v>0.73321759259259256</v>
      </c>
      <c r="H812" s="13">
        <v>9.1188888888888879</v>
      </c>
      <c r="I812" s="14">
        <v>9</v>
      </c>
      <c r="J812" s="15">
        <v>0.11888888888888793</v>
      </c>
      <c r="K812" s="17" t="s">
        <v>115</v>
      </c>
      <c r="P812" s="1"/>
      <c r="U812" s="1"/>
    </row>
    <row r="813" spans="1:21" x14ac:dyDescent="0.3">
      <c r="A813" s="11">
        <v>10003571</v>
      </c>
      <c r="B813" s="17" t="s">
        <v>110</v>
      </c>
      <c r="C813" s="18" t="s">
        <v>24</v>
      </c>
      <c r="D813" s="9">
        <v>46194</v>
      </c>
      <c r="E813" s="17" t="s">
        <v>113</v>
      </c>
      <c r="F813" s="12">
        <v>0.34412037037037035</v>
      </c>
      <c r="G813" s="12">
        <v>0.72123842592592591</v>
      </c>
      <c r="H813" s="13">
        <v>9.0508333333333333</v>
      </c>
      <c r="I813" s="14">
        <v>0</v>
      </c>
      <c r="J813" s="15">
        <v>9.0508333333333333</v>
      </c>
      <c r="K813" s="17" t="s">
        <v>114</v>
      </c>
      <c r="P813" s="1"/>
      <c r="U813" s="1"/>
    </row>
    <row r="814" spans="1:21" x14ac:dyDescent="0.3">
      <c r="A814" s="11">
        <v>10003571</v>
      </c>
      <c r="B814" s="17" t="s">
        <v>110</v>
      </c>
      <c r="C814" s="18" t="s">
        <v>24</v>
      </c>
      <c r="D814" s="9">
        <v>46195</v>
      </c>
      <c r="E814" s="17" t="s">
        <v>118</v>
      </c>
      <c r="F814" s="12">
        <v>0.34650462962962963</v>
      </c>
      <c r="G814" s="12">
        <v>0.72847222222222219</v>
      </c>
      <c r="H814" s="13">
        <v>9.1672222222222217</v>
      </c>
      <c r="I814" s="14">
        <v>9</v>
      </c>
      <c r="J814" s="15">
        <v>0.16722222222222172</v>
      </c>
      <c r="K814" s="17" t="s">
        <v>115</v>
      </c>
      <c r="P814" s="1"/>
      <c r="U814" s="1"/>
    </row>
    <row r="815" spans="1:21" x14ac:dyDescent="0.3">
      <c r="A815" s="11">
        <v>10003571</v>
      </c>
      <c r="B815" s="17" t="s">
        <v>110</v>
      </c>
      <c r="C815" s="18" t="s">
        <v>24</v>
      </c>
      <c r="D815" s="9">
        <v>46196</v>
      </c>
      <c r="E815" s="17" t="s">
        <v>119</v>
      </c>
      <c r="F815" s="12">
        <v>0.34797453703703701</v>
      </c>
      <c r="G815" s="12">
        <v>0.72328703703703701</v>
      </c>
      <c r="H815" s="13">
        <v>9.0075000000000003</v>
      </c>
      <c r="I815" s="14">
        <v>9</v>
      </c>
      <c r="J815" s="15">
        <v>7.5000000000002842E-3</v>
      </c>
      <c r="K815" s="17" t="s">
        <v>115</v>
      </c>
      <c r="P815" s="1"/>
      <c r="U815" s="1"/>
    </row>
    <row r="816" spans="1:21" x14ac:dyDescent="0.3">
      <c r="A816" s="11">
        <v>10003571</v>
      </c>
      <c r="B816" s="17" t="s">
        <v>110</v>
      </c>
      <c r="C816" s="18" t="s">
        <v>24</v>
      </c>
      <c r="D816" s="9">
        <v>46197</v>
      </c>
      <c r="E816" s="17" t="s">
        <v>123</v>
      </c>
      <c r="F816" s="12">
        <v>0.34435185185185185</v>
      </c>
      <c r="G816" s="12">
        <v>0.7336111111111111</v>
      </c>
      <c r="H816" s="13">
        <v>9.3422222222222224</v>
      </c>
      <c r="I816" s="14">
        <v>9</v>
      </c>
      <c r="J816" s="15">
        <v>0.34222222222222243</v>
      </c>
      <c r="K816" s="17" t="s">
        <v>115</v>
      </c>
      <c r="P816" s="1"/>
      <c r="U816" s="1"/>
    </row>
    <row r="817" spans="1:21" x14ac:dyDescent="0.3">
      <c r="A817" s="11">
        <v>10003571</v>
      </c>
      <c r="B817" s="17" t="s">
        <v>110</v>
      </c>
      <c r="C817" s="18" t="s">
        <v>24</v>
      </c>
      <c r="D817" s="9">
        <v>46198</v>
      </c>
      <c r="E817" s="17" t="s">
        <v>124</v>
      </c>
      <c r="F817" s="12">
        <v>0.34348379629629627</v>
      </c>
      <c r="G817" s="12">
        <v>0.72127314814814814</v>
      </c>
      <c r="H817" s="13">
        <v>9.0669444444444451</v>
      </c>
      <c r="I817" s="14">
        <v>9</v>
      </c>
      <c r="J817" s="15">
        <v>6.6944444444445139E-2</v>
      </c>
      <c r="K817" s="17" t="s">
        <v>115</v>
      </c>
      <c r="P817" s="1"/>
      <c r="U817" s="1"/>
    </row>
    <row r="818" spans="1:21" x14ac:dyDescent="0.3">
      <c r="A818" s="11">
        <v>10003571</v>
      </c>
      <c r="B818" s="17" t="s">
        <v>110</v>
      </c>
      <c r="C818" s="18" t="s">
        <v>24</v>
      </c>
      <c r="D818" s="9">
        <v>46199</v>
      </c>
      <c r="E818" s="17" t="s">
        <v>125</v>
      </c>
      <c r="F818" s="12">
        <v>0.34092592592592591</v>
      </c>
      <c r="G818" s="12">
        <v>0.54243055555555553</v>
      </c>
      <c r="H818" s="13">
        <v>4.8361111111111104</v>
      </c>
      <c r="I818" s="14">
        <v>4</v>
      </c>
      <c r="J818" s="15">
        <v>0.83611111111111036</v>
      </c>
      <c r="K818" s="17" t="s">
        <v>115</v>
      </c>
      <c r="P818" s="1"/>
      <c r="U818" s="1"/>
    </row>
    <row r="819" spans="1:21" x14ac:dyDescent="0.3">
      <c r="A819" s="11">
        <v>10003571</v>
      </c>
      <c r="B819" s="17" t="s">
        <v>110</v>
      </c>
      <c r="C819" s="18" t="s">
        <v>24</v>
      </c>
      <c r="D819" s="9">
        <v>46200</v>
      </c>
      <c r="E819" s="17" t="s">
        <v>126</v>
      </c>
      <c r="F819" s="12"/>
      <c r="G819" s="12"/>
      <c r="H819" s="13">
        <v>0</v>
      </c>
      <c r="I819" s="14">
        <v>0</v>
      </c>
      <c r="J819" s="15">
        <v>0</v>
      </c>
      <c r="K819" s="17" t="s">
        <v>116</v>
      </c>
      <c r="P819" s="1"/>
      <c r="U819" s="1"/>
    </row>
    <row r="820" spans="1:21" x14ac:dyDescent="0.3">
      <c r="A820" s="11">
        <v>10003571</v>
      </c>
      <c r="B820" s="17" t="s">
        <v>110</v>
      </c>
      <c r="C820" s="18" t="s">
        <v>24</v>
      </c>
      <c r="D820" s="9">
        <v>46201</v>
      </c>
      <c r="E820" s="17" t="s">
        <v>113</v>
      </c>
      <c r="F820" s="12">
        <v>0.34358796296296296</v>
      </c>
      <c r="G820" s="12">
        <v>0.71954861111111112</v>
      </c>
      <c r="H820" s="13">
        <v>9.0230555555555565</v>
      </c>
      <c r="I820" s="14">
        <v>0</v>
      </c>
      <c r="J820" s="15">
        <v>9.0230555555555565</v>
      </c>
      <c r="K820" s="17" t="s">
        <v>114</v>
      </c>
      <c r="P820" s="1"/>
      <c r="U820" s="1"/>
    </row>
    <row r="821" spans="1:21" x14ac:dyDescent="0.3">
      <c r="A821" s="11">
        <v>10003571</v>
      </c>
      <c r="B821" s="17" t="s">
        <v>110</v>
      </c>
      <c r="C821" s="18" t="s">
        <v>24</v>
      </c>
      <c r="D821" s="9">
        <v>46202</v>
      </c>
      <c r="E821" s="17" t="s">
        <v>118</v>
      </c>
      <c r="F821" s="12">
        <v>0.34133101851851849</v>
      </c>
      <c r="G821" s="12">
        <v>0.73094907407407406</v>
      </c>
      <c r="H821" s="13">
        <v>9.350833333333334</v>
      </c>
      <c r="I821" s="14">
        <v>9</v>
      </c>
      <c r="J821" s="15">
        <v>0.350833333333334</v>
      </c>
      <c r="K821" s="17" t="s">
        <v>115</v>
      </c>
      <c r="P821" s="1"/>
      <c r="U821" s="1"/>
    </row>
    <row r="822" spans="1:21" x14ac:dyDescent="0.3">
      <c r="A822" s="11">
        <v>10003575</v>
      </c>
      <c r="B822" s="17" t="s">
        <v>108</v>
      </c>
      <c r="C822" s="18" t="s">
        <v>11</v>
      </c>
      <c r="D822" s="9">
        <v>46194</v>
      </c>
      <c r="E822" s="17" t="s">
        <v>113</v>
      </c>
      <c r="F822" s="12"/>
      <c r="G822" s="12"/>
      <c r="H822" s="13">
        <v>0</v>
      </c>
      <c r="I822" s="14">
        <v>0</v>
      </c>
      <c r="J822" s="15">
        <v>0</v>
      </c>
      <c r="K822" s="17" t="s">
        <v>116</v>
      </c>
      <c r="P822" s="1"/>
      <c r="U822" s="1"/>
    </row>
    <row r="823" spans="1:21" x14ac:dyDescent="0.3">
      <c r="A823" s="11">
        <v>10003575</v>
      </c>
      <c r="B823" s="17" t="s">
        <v>108</v>
      </c>
      <c r="C823" s="18" t="s">
        <v>11</v>
      </c>
      <c r="D823" s="9">
        <v>46195</v>
      </c>
      <c r="E823" s="17" t="s">
        <v>118</v>
      </c>
      <c r="F823" s="12">
        <v>0.33226851851851852</v>
      </c>
      <c r="G823" s="12">
        <v>0.72912037037037036</v>
      </c>
      <c r="H823" s="13">
        <v>9.5244444444444447</v>
      </c>
      <c r="I823" s="14">
        <v>9</v>
      </c>
      <c r="J823" s="15">
        <v>0.52444444444444471</v>
      </c>
      <c r="K823" s="17" t="s">
        <v>115</v>
      </c>
      <c r="P823" s="1"/>
      <c r="U823" s="1"/>
    </row>
    <row r="824" spans="1:21" x14ac:dyDescent="0.3">
      <c r="A824" s="11">
        <v>10003575</v>
      </c>
      <c r="B824" s="17" t="s">
        <v>108</v>
      </c>
      <c r="C824" s="18" t="s">
        <v>11</v>
      </c>
      <c r="D824" s="9">
        <v>46196</v>
      </c>
      <c r="E824" s="17" t="s">
        <v>119</v>
      </c>
      <c r="F824" s="12">
        <v>0.33567129629629627</v>
      </c>
      <c r="G824" s="12">
        <v>0.73934027777777778</v>
      </c>
      <c r="H824" s="13">
        <v>9.6880555555555556</v>
      </c>
      <c r="I824" s="14">
        <v>9</v>
      </c>
      <c r="J824" s="15">
        <v>0.68805555555555564</v>
      </c>
      <c r="K824" s="17" t="s">
        <v>115</v>
      </c>
      <c r="P824" s="1"/>
      <c r="U824" s="1"/>
    </row>
    <row r="825" spans="1:21" x14ac:dyDescent="0.3">
      <c r="A825" s="11">
        <v>10003575</v>
      </c>
      <c r="B825" s="17" t="s">
        <v>108</v>
      </c>
      <c r="C825" s="18" t="s">
        <v>11</v>
      </c>
      <c r="D825" s="9">
        <v>46197</v>
      </c>
      <c r="E825" s="17" t="s">
        <v>123</v>
      </c>
      <c r="F825" s="12">
        <v>0.32944444444444443</v>
      </c>
      <c r="G825" s="12">
        <v>0.73074074074074069</v>
      </c>
      <c r="H825" s="13">
        <v>9.6311111111111103</v>
      </c>
      <c r="I825" s="14">
        <v>9</v>
      </c>
      <c r="J825" s="15">
        <v>0.63111111111111029</v>
      </c>
      <c r="K825" s="17" t="s">
        <v>115</v>
      </c>
      <c r="P825" s="1"/>
      <c r="U825" s="1"/>
    </row>
    <row r="826" spans="1:21" x14ac:dyDescent="0.3">
      <c r="A826" s="11">
        <v>10003575</v>
      </c>
      <c r="B826" s="17" t="s">
        <v>108</v>
      </c>
      <c r="C826" s="18" t="s">
        <v>11</v>
      </c>
      <c r="D826" s="9">
        <v>46198</v>
      </c>
      <c r="E826" s="17" t="s">
        <v>124</v>
      </c>
      <c r="F826" s="12">
        <v>0.32715277777777779</v>
      </c>
      <c r="G826" s="12">
        <v>0.74524305555555559</v>
      </c>
      <c r="H826" s="13">
        <v>10.034166666666668</v>
      </c>
      <c r="I826" s="14">
        <v>9</v>
      </c>
      <c r="J826" s="15">
        <v>1.0341666666666676</v>
      </c>
      <c r="K826" s="17" t="s">
        <v>115</v>
      </c>
      <c r="P826" s="1"/>
      <c r="U826" s="1"/>
    </row>
    <row r="827" spans="1:21" x14ac:dyDescent="0.3">
      <c r="A827" s="11">
        <v>10003575</v>
      </c>
      <c r="B827" s="17" t="s">
        <v>108</v>
      </c>
      <c r="C827" s="18" t="s">
        <v>11</v>
      </c>
      <c r="D827" s="9">
        <v>46199</v>
      </c>
      <c r="E827" s="17" t="s">
        <v>125</v>
      </c>
      <c r="F827" s="12">
        <v>0.33721064814814816</v>
      </c>
      <c r="G827" s="12">
        <v>0.5212268518518518</v>
      </c>
      <c r="H827" s="13">
        <v>4.4163888888888874</v>
      </c>
      <c r="I827" s="14">
        <v>4</v>
      </c>
      <c r="J827" s="15">
        <v>0.41638888888888737</v>
      </c>
      <c r="K827" s="17" t="s">
        <v>115</v>
      </c>
      <c r="P827" s="1"/>
      <c r="U827" s="1"/>
    </row>
    <row r="828" spans="1:21" x14ac:dyDescent="0.3">
      <c r="A828" s="11">
        <v>10003575</v>
      </c>
      <c r="B828" s="17" t="s">
        <v>108</v>
      </c>
      <c r="C828" s="18" t="s">
        <v>11</v>
      </c>
      <c r="D828" s="9">
        <v>46200</v>
      </c>
      <c r="E828" s="17" t="s">
        <v>126</v>
      </c>
      <c r="F828" s="12"/>
      <c r="G828" s="12"/>
      <c r="H828" s="13">
        <v>0</v>
      </c>
      <c r="I828" s="14">
        <v>0</v>
      </c>
      <c r="J828" s="15">
        <v>0</v>
      </c>
      <c r="K828" s="17" t="s">
        <v>116</v>
      </c>
      <c r="P828" s="1"/>
      <c r="U828" s="1"/>
    </row>
    <row r="829" spans="1:21" x14ac:dyDescent="0.3">
      <c r="A829" s="11">
        <v>10003575</v>
      </c>
      <c r="B829" s="17" t="s">
        <v>108</v>
      </c>
      <c r="C829" s="18" t="s">
        <v>11</v>
      </c>
      <c r="D829" s="9">
        <v>46201</v>
      </c>
      <c r="E829" s="17" t="s">
        <v>113</v>
      </c>
      <c r="F829" s="12"/>
      <c r="G829" s="12"/>
      <c r="H829" s="13">
        <v>0</v>
      </c>
      <c r="I829" s="14">
        <v>0</v>
      </c>
      <c r="J829" s="15">
        <v>0</v>
      </c>
      <c r="K829" s="17" t="s">
        <v>116</v>
      </c>
      <c r="P829" s="1"/>
      <c r="U829" s="1"/>
    </row>
    <row r="830" spans="1:21" x14ac:dyDescent="0.3">
      <c r="A830" s="11">
        <v>10003575</v>
      </c>
      <c r="B830" s="17" t="s">
        <v>108</v>
      </c>
      <c r="C830" s="18" t="s">
        <v>11</v>
      </c>
      <c r="D830" s="9">
        <v>46202</v>
      </c>
      <c r="E830" s="17" t="s">
        <v>118</v>
      </c>
      <c r="F830" s="12">
        <v>0.33473379629629629</v>
      </c>
      <c r="G830" s="12">
        <v>0.73722222222222222</v>
      </c>
      <c r="H830" s="13">
        <v>9.6597222222222214</v>
      </c>
      <c r="I830" s="14">
        <v>9</v>
      </c>
      <c r="J830" s="15">
        <v>0.65972222222222143</v>
      </c>
      <c r="K830" s="17" t="s">
        <v>115</v>
      </c>
      <c r="P830" s="1"/>
      <c r="U830" s="1"/>
    </row>
    <row r="831" spans="1:21" x14ac:dyDescent="0.3">
      <c r="A831" s="11">
        <v>10003608</v>
      </c>
      <c r="B831" s="17" t="s">
        <v>109</v>
      </c>
      <c r="C831" s="18" t="s">
        <v>13</v>
      </c>
      <c r="D831" s="9">
        <v>46194</v>
      </c>
      <c r="E831" s="17" t="s">
        <v>113</v>
      </c>
      <c r="F831" s="12">
        <v>0.34127314814814813</v>
      </c>
      <c r="G831" s="12">
        <v>0.6928819444444444</v>
      </c>
      <c r="H831" s="13">
        <v>8.4386111111111113</v>
      </c>
      <c r="I831" s="14">
        <v>8.5</v>
      </c>
      <c r="J831" s="15">
        <v>-6.1388888888888715E-2</v>
      </c>
      <c r="K831" s="17" t="s">
        <v>111</v>
      </c>
      <c r="P831" s="1"/>
      <c r="U831" s="1"/>
    </row>
    <row r="832" spans="1:21" x14ac:dyDescent="0.3">
      <c r="A832" s="11">
        <v>10003608</v>
      </c>
      <c r="B832" s="17" t="s">
        <v>109</v>
      </c>
      <c r="C832" s="18" t="s">
        <v>13</v>
      </c>
      <c r="D832" s="9">
        <v>46195</v>
      </c>
      <c r="E832" s="17" t="s">
        <v>118</v>
      </c>
      <c r="F832" s="12">
        <v>0.34144675925925927</v>
      </c>
      <c r="G832" s="12">
        <v>0.69438657407407411</v>
      </c>
      <c r="H832" s="13">
        <v>8.4705555555555563</v>
      </c>
      <c r="I832" s="14">
        <v>8.5</v>
      </c>
      <c r="J832" s="15">
        <v>-2.9444444444443718E-2</v>
      </c>
      <c r="K832" s="17" t="s">
        <v>111</v>
      </c>
      <c r="P832" s="1"/>
      <c r="U832" s="1"/>
    </row>
    <row r="833" spans="1:21" x14ac:dyDescent="0.3">
      <c r="A833" s="11">
        <v>10003608</v>
      </c>
      <c r="B833" s="17" t="s">
        <v>109</v>
      </c>
      <c r="C833" s="18" t="s">
        <v>13</v>
      </c>
      <c r="D833" s="9">
        <v>46196</v>
      </c>
      <c r="E833" s="17" t="s">
        <v>119</v>
      </c>
      <c r="F833" s="12">
        <v>0.34195601851851853</v>
      </c>
      <c r="G833" s="12">
        <v>0.69243055555555555</v>
      </c>
      <c r="H833" s="13">
        <v>8.4113888888888884</v>
      </c>
      <c r="I833" s="14">
        <v>8.5</v>
      </c>
      <c r="J833" s="15">
        <v>-8.861111111111164E-2</v>
      </c>
      <c r="K833" s="17" t="s">
        <v>111</v>
      </c>
      <c r="P833" s="1"/>
      <c r="U833" s="1"/>
    </row>
    <row r="834" spans="1:21" x14ac:dyDescent="0.3">
      <c r="A834" s="11">
        <v>10003608</v>
      </c>
      <c r="B834" s="17" t="s">
        <v>109</v>
      </c>
      <c r="C834" s="18" t="s">
        <v>13</v>
      </c>
      <c r="D834" s="9">
        <v>46197</v>
      </c>
      <c r="E834" s="17" t="s">
        <v>123</v>
      </c>
      <c r="F834" s="12">
        <v>0.33916666666666667</v>
      </c>
      <c r="G834" s="12">
        <v>0.70782407407407411</v>
      </c>
      <c r="H834" s="13">
        <v>8.8477777777777789</v>
      </c>
      <c r="I834" s="14">
        <v>8.5</v>
      </c>
      <c r="J834" s="15">
        <v>0.34777777777777885</v>
      </c>
      <c r="K834" s="17" t="s">
        <v>115</v>
      </c>
      <c r="P834" s="1"/>
      <c r="U834" s="1"/>
    </row>
    <row r="835" spans="1:21" x14ac:dyDescent="0.3">
      <c r="A835" s="11">
        <v>10003608</v>
      </c>
      <c r="B835" s="17" t="s">
        <v>109</v>
      </c>
      <c r="C835" s="18" t="s">
        <v>13</v>
      </c>
      <c r="D835" s="9">
        <v>46198</v>
      </c>
      <c r="E835" s="17" t="s">
        <v>124</v>
      </c>
      <c r="F835" s="12">
        <v>0.34019675925925924</v>
      </c>
      <c r="G835" s="12">
        <v>0.70479166666666671</v>
      </c>
      <c r="H835" s="13">
        <v>8.7502777777777787</v>
      </c>
      <c r="I835" s="14">
        <v>8.5</v>
      </c>
      <c r="J835" s="15">
        <v>0.25027777777777871</v>
      </c>
      <c r="K835" s="17" t="s">
        <v>115</v>
      </c>
      <c r="P835" s="1"/>
      <c r="U835" s="1"/>
    </row>
    <row r="836" spans="1:21" x14ac:dyDescent="0.3">
      <c r="A836" s="11">
        <v>10003608</v>
      </c>
      <c r="B836" s="17" t="s">
        <v>109</v>
      </c>
      <c r="C836" s="18" t="s">
        <v>13</v>
      </c>
      <c r="D836" s="9">
        <v>46199</v>
      </c>
      <c r="E836" s="17" t="s">
        <v>125</v>
      </c>
      <c r="F836" s="12">
        <v>0.35708333333333331</v>
      </c>
      <c r="G836" s="12">
        <v>0.50289351851851849</v>
      </c>
      <c r="H836" s="13">
        <v>3.4994444444444444</v>
      </c>
      <c r="I836" s="14">
        <v>3</v>
      </c>
      <c r="J836" s="15">
        <v>0.49944444444444436</v>
      </c>
      <c r="K836" s="17" t="s">
        <v>115</v>
      </c>
      <c r="P836" s="1"/>
      <c r="U836" s="1"/>
    </row>
    <row r="837" spans="1:21" x14ac:dyDescent="0.3">
      <c r="A837" s="11">
        <v>10003608</v>
      </c>
      <c r="B837" s="17" t="s">
        <v>109</v>
      </c>
      <c r="C837" s="18" t="s">
        <v>13</v>
      </c>
      <c r="D837" s="9">
        <v>46200</v>
      </c>
      <c r="E837" s="17" t="s">
        <v>126</v>
      </c>
      <c r="F837" s="12"/>
      <c r="G837" s="12"/>
      <c r="H837" s="13">
        <v>0</v>
      </c>
      <c r="I837" s="14">
        <v>0</v>
      </c>
      <c r="J837" s="15">
        <v>0</v>
      </c>
      <c r="K837" s="17" t="s">
        <v>116</v>
      </c>
      <c r="P837" s="1"/>
      <c r="U837" s="1"/>
    </row>
    <row r="838" spans="1:21" x14ac:dyDescent="0.3">
      <c r="A838" s="11">
        <v>10003608</v>
      </c>
      <c r="B838" s="17" t="s">
        <v>109</v>
      </c>
      <c r="C838" s="18" t="s">
        <v>13</v>
      </c>
      <c r="D838" s="9">
        <v>46201</v>
      </c>
      <c r="E838" s="17" t="s">
        <v>113</v>
      </c>
      <c r="F838" s="12">
        <v>0.34121527777777777</v>
      </c>
      <c r="G838" s="12">
        <v>0.69678240740740738</v>
      </c>
      <c r="H838" s="13">
        <v>8.5336111111111101</v>
      </c>
      <c r="I838" s="14">
        <v>8.5</v>
      </c>
      <c r="J838" s="15">
        <v>3.3611111111110148E-2</v>
      </c>
      <c r="K838" s="17" t="s">
        <v>115</v>
      </c>
      <c r="P838" s="1"/>
      <c r="U838" s="1"/>
    </row>
    <row r="839" spans="1:21" x14ac:dyDescent="0.3">
      <c r="A839" s="11">
        <v>10003608</v>
      </c>
      <c r="B839" s="17" t="s">
        <v>109</v>
      </c>
      <c r="C839" s="18" t="s">
        <v>13</v>
      </c>
      <c r="D839" s="9">
        <v>46202</v>
      </c>
      <c r="E839" s="17" t="s">
        <v>118</v>
      </c>
      <c r="F839" s="12">
        <v>0.34158564814814812</v>
      </c>
      <c r="G839" s="12">
        <v>0.69760416666666669</v>
      </c>
      <c r="H839" s="13">
        <v>8.5444444444444461</v>
      </c>
      <c r="I839" s="14">
        <v>8.5</v>
      </c>
      <c r="J839" s="15">
        <v>4.4444444444446063E-2</v>
      </c>
      <c r="K839" s="17" t="s">
        <v>115</v>
      </c>
      <c r="P839" s="1"/>
      <c r="U839" s="1"/>
    </row>
    <row r="840" spans="1:21" ht="18.75" x14ac:dyDescent="0.3">
      <c r="D840" s="4"/>
      <c r="F840" s="2"/>
      <c r="G840" s="2"/>
      <c r="H840" s="5">
        <f>SUBTOTAL(109,Table6[Hours Worked])</f>
        <v>3706.2116666666639</v>
      </c>
      <c r="I840" s="6">
        <f>SUBTOTAL(109,Table6[Duty Hours])</f>
        <v>4542.5</v>
      </c>
      <c r="J840" s="7">
        <f>SUBTOTAL(109,Table6[OT Hours])</f>
        <v>-836.28833333333341</v>
      </c>
      <c r="K840" s="3"/>
      <c r="P840" s="1"/>
      <c r="U840" s="1"/>
    </row>
    <row r="841" spans="1:21" x14ac:dyDescent="0.3">
      <c r="P841" s="1"/>
      <c r="U841" s="1"/>
    </row>
    <row r="842" spans="1:21" x14ac:dyDescent="0.3">
      <c r="P842" s="1"/>
      <c r="U842" s="1"/>
    </row>
    <row r="843" spans="1:21" x14ac:dyDescent="0.3">
      <c r="P843" s="1"/>
      <c r="U843" s="1"/>
    </row>
    <row r="844" spans="1:21" x14ac:dyDescent="0.3">
      <c r="P844" s="1"/>
      <c r="U844" s="1"/>
    </row>
    <row r="845" spans="1:21" x14ac:dyDescent="0.3">
      <c r="P845" s="1"/>
      <c r="U845" s="1"/>
    </row>
    <row r="846" spans="1:21" x14ac:dyDescent="0.3">
      <c r="P846" s="1"/>
      <c r="U846" s="1"/>
    </row>
    <row r="847" spans="1:21" x14ac:dyDescent="0.3">
      <c r="P847" s="1"/>
      <c r="U847" s="1"/>
    </row>
    <row r="848" spans="1:21" x14ac:dyDescent="0.3">
      <c r="P848" s="1"/>
      <c r="U848" s="1"/>
    </row>
    <row r="849" spans="16:21" x14ac:dyDescent="0.3">
      <c r="P849" s="1"/>
      <c r="U849" s="1"/>
    </row>
    <row r="850" spans="16:21" x14ac:dyDescent="0.3">
      <c r="P850" s="1"/>
      <c r="U850" s="1"/>
    </row>
    <row r="851" spans="16:21" x14ac:dyDescent="0.3">
      <c r="P851" s="1"/>
      <c r="U851" s="1"/>
    </row>
    <row r="852" spans="16:21" x14ac:dyDescent="0.3">
      <c r="P852" s="1"/>
      <c r="U852" s="1"/>
    </row>
    <row r="853" spans="16:21" x14ac:dyDescent="0.3">
      <c r="P853" s="1"/>
      <c r="U853" s="1"/>
    </row>
    <row r="854" spans="16:21" x14ac:dyDescent="0.3">
      <c r="P854" s="1"/>
      <c r="U854" s="1"/>
    </row>
    <row r="855" spans="16:21" x14ac:dyDescent="0.3">
      <c r="P855" s="1"/>
      <c r="U855" s="1"/>
    </row>
    <row r="856" spans="16:21" x14ac:dyDescent="0.3">
      <c r="P856" s="1"/>
      <c r="U856" s="1"/>
    </row>
    <row r="857" spans="16:21" x14ac:dyDescent="0.3">
      <c r="P857" s="1"/>
      <c r="U857" s="1"/>
    </row>
    <row r="858" spans="16:21" x14ac:dyDescent="0.3">
      <c r="P858" s="1"/>
      <c r="U858" s="1"/>
    </row>
    <row r="859" spans="16:21" x14ac:dyDescent="0.3">
      <c r="P859" s="1"/>
      <c r="U859" s="1"/>
    </row>
    <row r="860" spans="16:21" x14ac:dyDescent="0.3">
      <c r="P860" s="1"/>
      <c r="U860" s="1"/>
    </row>
    <row r="861" spans="16:21" x14ac:dyDescent="0.3">
      <c r="P861" s="1"/>
      <c r="U861" s="1"/>
    </row>
    <row r="862" spans="16:21" x14ac:dyDescent="0.3">
      <c r="P862" s="1"/>
      <c r="U862" s="1"/>
    </row>
    <row r="863" spans="16:21" x14ac:dyDescent="0.3">
      <c r="P863" s="1"/>
      <c r="U863" s="1"/>
    </row>
    <row r="864" spans="16:21" x14ac:dyDescent="0.3">
      <c r="P864" s="1"/>
      <c r="U864" s="1"/>
    </row>
    <row r="865" spans="16:21" x14ac:dyDescent="0.3">
      <c r="P865" s="1"/>
      <c r="U865" s="1"/>
    </row>
    <row r="866" spans="16:21" x14ac:dyDescent="0.3">
      <c r="P866" s="1"/>
      <c r="U866" s="1"/>
    </row>
    <row r="867" spans="16:21" x14ac:dyDescent="0.3">
      <c r="P867" s="1"/>
      <c r="U867" s="1"/>
    </row>
    <row r="868" spans="16:21" x14ac:dyDescent="0.3">
      <c r="P868" s="1"/>
      <c r="U868" s="1"/>
    </row>
    <row r="869" spans="16:21" x14ac:dyDescent="0.3">
      <c r="P869" s="1"/>
      <c r="U869" s="1"/>
    </row>
    <row r="870" spans="16:21" x14ac:dyDescent="0.3">
      <c r="P870" s="1"/>
      <c r="U870" s="1"/>
    </row>
    <row r="871" spans="16:21" x14ac:dyDescent="0.3">
      <c r="P871" s="1"/>
      <c r="U871" s="1"/>
    </row>
    <row r="872" spans="16:21" x14ac:dyDescent="0.3">
      <c r="P872" s="1"/>
      <c r="U872" s="1"/>
    </row>
    <row r="873" spans="16:21" x14ac:dyDescent="0.3">
      <c r="P873" s="1"/>
      <c r="U873" s="1"/>
    </row>
    <row r="874" spans="16:21" x14ac:dyDescent="0.3">
      <c r="P874" s="1"/>
      <c r="U874" s="1"/>
    </row>
    <row r="875" spans="16:21" x14ac:dyDescent="0.3">
      <c r="P875" s="1"/>
      <c r="U875" s="1"/>
    </row>
    <row r="876" spans="16:21" x14ac:dyDescent="0.3">
      <c r="P876" s="1"/>
      <c r="U876" s="1"/>
    </row>
    <row r="877" spans="16:21" x14ac:dyDescent="0.3">
      <c r="P877" s="1"/>
      <c r="U877" s="1"/>
    </row>
    <row r="878" spans="16:21" x14ac:dyDescent="0.3">
      <c r="P878" s="1"/>
      <c r="U878" s="1"/>
    </row>
    <row r="879" spans="16:21" x14ac:dyDescent="0.3">
      <c r="P879" s="1"/>
      <c r="U879" s="1"/>
    </row>
    <row r="880" spans="16:21" x14ac:dyDescent="0.3">
      <c r="P880" s="1"/>
      <c r="U880" s="1"/>
    </row>
    <row r="881" spans="16:21" x14ac:dyDescent="0.3">
      <c r="P881" s="1"/>
      <c r="U881" s="1"/>
    </row>
    <row r="882" spans="16:21" x14ac:dyDescent="0.3">
      <c r="P882" s="1"/>
      <c r="U882" s="1"/>
    </row>
    <row r="883" spans="16:21" x14ac:dyDescent="0.3">
      <c r="P883" s="1"/>
      <c r="U883" s="1"/>
    </row>
    <row r="884" spans="16:21" x14ac:dyDescent="0.3">
      <c r="P884" s="1"/>
      <c r="U884" s="1"/>
    </row>
    <row r="885" spans="16:21" x14ac:dyDescent="0.3">
      <c r="P885" s="1"/>
      <c r="U885" s="1"/>
    </row>
    <row r="886" spans="16:21" x14ac:dyDescent="0.3">
      <c r="P886" s="1"/>
      <c r="U886" s="1"/>
    </row>
    <row r="887" spans="16:21" x14ac:dyDescent="0.3">
      <c r="P887" s="1"/>
      <c r="U887" s="1"/>
    </row>
    <row r="888" spans="16:21" x14ac:dyDescent="0.3">
      <c r="P888" s="1"/>
      <c r="U888" s="1"/>
    </row>
    <row r="889" spans="16:21" x14ac:dyDescent="0.3">
      <c r="P889" s="1"/>
      <c r="U889" s="1"/>
    </row>
    <row r="890" spans="16:21" x14ac:dyDescent="0.3">
      <c r="P890" s="1"/>
      <c r="U890" s="1"/>
    </row>
    <row r="891" spans="16:21" x14ac:dyDescent="0.3">
      <c r="P891" s="1"/>
      <c r="U891" s="1"/>
    </row>
    <row r="892" spans="16:21" x14ac:dyDescent="0.3">
      <c r="P892" s="1"/>
      <c r="U892" s="1"/>
    </row>
    <row r="893" spans="16:21" x14ac:dyDescent="0.3">
      <c r="P893" s="1"/>
      <c r="U893" s="1"/>
    </row>
    <row r="894" spans="16:21" x14ac:dyDescent="0.3">
      <c r="P894" s="1"/>
      <c r="U894" s="1"/>
    </row>
    <row r="895" spans="16:21" x14ac:dyDescent="0.3">
      <c r="P895" s="1"/>
      <c r="U895" s="1"/>
    </row>
    <row r="896" spans="16:21" x14ac:dyDescent="0.3">
      <c r="P896" s="1"/>
      <c r="U896" s="1"/>
    </row>
    <row r="897" spans="16:21" x14ac:dyDescent="0.3">
      <c r="P897" s="1"/>
      <c r="U897" s="1"/>
    </row>
    <row r="898" spans="16:21" x14ac:dyDescent="0.3">
      <c r="P898" s="1"/>
      <c r="U898" s="1"/>
    </row>
    <row r="899" spans="16:21" x14ac:dyDescent="0.3">
      <c r="P899" s="1"/>
      <c r="U899" s="1"/>
    </row>
    <row r="900" spans="16:21" x14ac:dyDescent="0.3">
      <c r="P900" s="1"/>
      <c r="U900" s="1"/>
    </row>
    <row r="901" spans="16:21" x14ac:dyDescent="0.3">
      <c r="P901" s="1"/>
      <c r="U901" s="1"/>
    </row>
    <row r="902" spans="16:21" x14ac:dyDescent="0.3">
      <c r="P902" s="1"/>
      <c r="U902" s="1"/>
    </row>
    <row r="903" spans="16:21" x14ac:dyDescent="0.3">
      <c r="P903" s="1"/>
      <c r="U903" s="1"/>
    </row>
    <row r="904" spans="16:21" x14ac:dyDescent="0.3">
      <c r="P904" s="1"/>
      <c r="U904" s="1"/>
    </row>
    <row r="905" spans="16:21" x14ac:dyDescent="0.3">
      <c r="P905" s="1"/>
      <c r="U905" s="1"/>
    </row>
    <row r="906" spans="16:21" x14ac:dyDescent="0.3">
      <c r="P906" s="1"/>
      <c r="U906" s="1"/>
    </row>
    <row r="907" spans="16:21" x14ac:dyDescent="0.3">
      <c r="P907" s="1"/>
      <c r="U907" s="1"/>
    </row>
    <row r="908" spans="16:21" x14ac:dyDescent="0.3">
      <c r="P908" s="1"/>
      <c r="U908" s="1"/>
    </row>
    <row r="909" spans="16:21" x14ac:dyDescent="0.3">
      <c r="P909" s="1"/>
      <c r="U909" s="1"/>
    </row>
    <row r="910" spans="16:21" x14ac:dyDescent="0.3">
      <c r="P910" s="1"/>
      <c r="U910" s="1"/>
    </row>
    <row r="911" spans="16:21" x14ac:dyDescent="0.3">
      <c r="P911" s="1"/>
      <c r="U911" s="1"/>
    </row>
    <row r="912" spans="16:21" x14ac:dyDescent="0.3">
      <c r="P912" s="1"/>
      <c r="U912" s="1"/>
    </row>
    <row r="913" spans="16:21" x14ac:dyDescent="0.3">
      <c r="P913" s="1"/>
      <c r="U913" s="1"/>
    </row>
    <row r="914" spans="16:21" x14ac:dyDescent="0.3">
      <c r="P914" s="1"/>
      <c r="U914" s="1"/>
    </row>
    <row r="915" spans="16:21" x14ac:dyDescent="0.3">
      <c r="P915" s="1"/>
      <c r="U915" s="1"/>
    </row>
    <row r="916" spans="16:21" x14ac:dyDescent="0.3">
      <c r="P916" s="1"/>
      <c r="U916" s="1"/>
    </row>
    <row r="917" spans="16:21" x14ac:dyDescent="0.3">
      <c r="P917" s="1"/>
      <c r="U917" s="1"/>
    </row>
    <row r="918" spans="16:21" x14ac:dyDescent="0.3">
      <c r="P918" s="1"/>
      <c r="U918" s="1"/>
    </row>
    <row r="919" spans="16:21" x14ac:dyDescent="0.3">
      <c r="P919" s="1"/>
      <c r="U919" s="1"/>
    </row>
    <row r="920" spans="16:21" x14ac:dyDescent="0.3">
      <c r="P920" s="1"/>
      <c r="U920" s="1"/>
    </row>
    <row r="921" spans="16:21" x14ac:dyDescent="0.3">
      <c r="P921" s="1"/>
      <c r="U921" s="1"/>
    </row>
    <row r="922" spans="16:21" x14ac:dyDescent="0.3">
      <c r="P922" s="1"/>
      <c r="U922" s="1"/>
    </row>
    <row r="923" spans="16:21" x14ac:dyDescent="0.3">
      <c r="P923" s="1"/>
      <c r="U923" s="1"/>
    </row>
    <row r="924" spans="16:21" x14ac:dyDescent="0.3">
      <c r="P924" s="1"/>
      <c r="U924" s="1"/>
    </row>
    <row r="925" spans="16:21" x14ac:dyDescent="0.3">
      <c r="P925" s="1"/>
      <c r="U925" s="1"/>
    </row>
    <row r="926" spans="16:21" x14ac:dyDescent="0.3">
      <c r="P926" s="1"/>
      <c r="U926" s="1"/>
    </row>
    <row r="927" spans="16:21" x14ac:dyDescent="0.3">
      <c r="P927" s="1"/>
      <c r="U927" s="1"/>
    </row>
    <row r="928" spans="16:21" x14ac:dyDescent="0.3">
      <c r="P928" s="1"/>
      <c r="U928" s="1"/>
    </row>
    <row r="929" spans="16:21" x14ac:dyDescent="0.3">
      <c r="P929" s="1"/>
      <c r="U929" s="1"/>
    </row>
    <row r="930" spans="16:21" x14ac:dyDescent="0.3">
      <c r="P930" s="1"/>
      <c r="U930" s="1"/>
    </row>
    <row r="931" spans="16:21" x14ac:dyDescent="0.3">
      <c r="P931" s="1"/>
      <c r="U931" s="1"/>
    </row>
    <row r="932" spans="16:21" x14ac:dyDescent="0.3">
      <c r="P932" s="1"/>
      <c r="U932" s="1"/>
    </row>
    <row r="933" spans="16:21" x14ac:dyDescent="0.3">
      <c r="P933" s="1"/>
      <c r="U933" s="1"/>
    </row>
    <row r="934" spans="16:21" x14ac:dyDescent="0.3">
      <c r="P934" s="1"/>
      <c r="U934" s="1"/>
    </row>
    <row r="935" spans="16:21" x14ac:dyDescent="0.3">
      <c r="P935" s="1"/>
      <c r="U935" s="1"/>
    </row>
    <row r="936" spans="16:21" x14ac:dyDescent="0.3">
      <c r="P936" s="1"/>
      <c r="U936" s="1"/>
    </row>
    <row r="937" spans="16:21" x14ac:dyDescent="0.3">
      <c r="P937" s="1"/>
      <c r="U937" s="1"/>
    </row>
    <row r="938" spans="16:21" x14ac:dyDescent="0.3">
      <c r="P938" s="1"/>
      <c r="U938" s="1"/>
    </row>
    <row r="939" spans="16:21" x14ac:dyDescent="0.3">
      <c r="P939" s="1"/>
      <c r="U939" s="1"/>
    </row>
    <row r="940" spans="16:21" x14ac:dyDescent="0.3">
      <c r="P940" s="1"/>
      <c r="U940" s="1"/>
    </row>
    <row r="941" spans="16:21" x14ac:dyDescent="0.3">
      <c r="P941" s="1"/>
      <c r="U941" s="1"/>
    </row>
    <row r="942" spans="16:21" x14ac:dyDescent="0.3">
      <c r="P942" s="1"/>
      <c r="U942" s="1"/>
    </row>
    <row r="943" spans="16:21" x14ac:dyDescent="0.3">
      <c r="P943" s="1"/>
      <c r="U943" s="1"/>
    </row>
    <row r="944" spans="16:21" x14ac:dyDescent="0.3">
      <c r="P944" s="1"/>
      <c r="U944" s="1"/>
    </row>
    <row r="945" spans="16:21" x14ac:dyDescent="0.3">
      <c r="P945" s="1"/>
      <c r="U945" s="1"/>
    </row>
    <row r="946" spans="16:21" x14ac:dyDescent="0.3">
      <c r="P946" s="1"/>
      <c r="U946" s="1"/>
    </row>
    <row r="947" spans="16:21" x14ac:dyDescent="0.3">
      <c r="P947" s="1"/>
      <c r="U947" s="1"/>
    </row>
    <row r="948" spans="16:21" x14ac:dyDescent="0.3">
      <c r="P948" s="1"/>
      <c r="U948" s="1"/>
    </row>
    <row r="949" spans="16:21" x14ac:dyDescent="0.3">
      <c r="P949" s="1"/>
      <c r="U949" s="1"/>
    </row>
    <row r="950" spans="16:21" x14ac:dyDescent="0.3">
      <c r="P950" s="1"/>
      <c r="U950" s="1"/>
    </row>
    <row r="951" spans="16:21" x14ac:dyDescent="0.3">
      <c r="P951" s="1"/>
      <c r="U951" s="1"/>
    </row>
    <row r="952" spans="16:21" x14ac:dyDescent="0.3">
      <c r="P952" s="1"/>
      <c r="U952" s="1"/>
    </row>
    <row r="953" spans="16:21" x14ac:dyDescent="0.3">
      <c r="P953" s="1"/>
      <c r="U953" s="1"/>
    </row>
    <row r="954" spans="16:21" x14ac:dyDescent="0.3">
      <c r="P954" s="1"/>
      <c r="U954" s="1"/>
    </row>
    <row r="955" spans="16:21" x14ac:dyDescent="0.3">
      <c r="P955" s="1"/>
      <c r="U955" s="1"/>
    </row>
    <row r="956" spans="16:21" x14ac:dyDescent="0.3">
      <c r="P956" s="1"/>
      <c r="U956" s="1"/>
    </row>
    <row r="957" spans="16:21" x14ac:dyDescent="0.3">
      <c r="P957" s="1"/>
      <c r="U957" s="1"/>
    </row>
    <row r="958" spans="16:21" x14ac:dyDescent="0.3">
      <c r="P958" s="1"/>
      <c r="U958" s="1"/>
    </row>
    <row r="959" spans="16:21" x14ac:dyDescent="0.3">
      <c r="P959" s="1"/>
      <c r="U959" s="1"/>
    </row>
    <row r="960" spans="16:21" x14ac:dyDescent="0.3">
      <c r="P960" s="1"/>
      <c r="U960" s="1"/>
    </row>
    <row r="961" spans="16:21" x14ac:dyDescent="0.3">
      <c r="P961" s="1"/>
      <c r="U961" s="1"/>
    </row>
    <row r="962" spans="16:21" x14ac:dyDescent="0.3">
      <c r="P962" s="1"/>
      <c r="U962" s="1"/>
    </row>
    <row r="963" spans="16:21" x14ac:dyDescent="0.3">
      <c r="P963" s="1"/>
      <c r="U963" s="1"/>
    </row>
    <row r="964" spans="16:21" x14ac:dyDescent="0.3">
      <c r="P964" s="1"/>
      <c r="U964" s="1"/>
    </row>
    <row r="965" spans="16:21" x14ac:dyDescent="0.3">
      <c r="P965" s="1"/>
      <c r="U965" s="1"/>
    </row>
    <row r="966" spans="16:21" x14ac:dyDescent="0.3">
      <c r="P966" s="1"/>
      <c r="U966" s="1"/>
    </row>
    <row r="967" spans="16:21" x14ac:dyDescent="0.3">
      <c r="P967" s="1"/>
      <c r="U967" s="1"/>
    </row>
    <row r="968" spans="16:21" x14ac:dyDescent="0.3">
      <c r="P968" s="1"/>
      <c r="U968" s="1"/>
    </row>
    <row r="969" spans="16:21" x14ac:dyDescent="0.3">
      <c r="P969" s="1"/>
      <c r="U969" s="1"/>
    </row>
    <row r="970" spans="16:21" x14ac:dyDescent="0.3">
      <c r="P970" s="1"/>
      <c r="U970" s="1"/>
    </row>
    <row r="971" spans="16:21" x14ac:dyDescent="0.3">
      <c r="P971" s="1"/>
      <c r="U971" s="1"/>
    </row>
    <row r="972" spans="16:21" x14ac:dyDescent="0.3">
      <c r="P972" s="1"/>
      <c r="U972" s="1"/>
    </row>
    <row r="973" spans="16:21" x14ac:dyDescent="0.3">
      <c r="P973" s="1"/>
      <c r="U973" s="1"/>
    </row>
    <row r="974" spans="16:21" x14ac:dyDescent="0.3">
      <c r="P974" s="1"/>
      <c r="U974" s="1"/>
    </row>
    <row r="975" spans="16:21" x14ac:dyDescent="0.3">
      <c r="P975" s="1"/>
      <c r="U975" s="1"/>
    </row>
    <row r="976" spans="16:21" x14ac:dyDescent="0.3">
      <c r="P976" s="1"/>
      <c r="U976" s="1"/>
    </row>
    <row r="977" spans="16:21" x14ac:dyDescent="0.3">
      <c r="P977" s="1"/>
      <c r="U977" s="1"/>
    </row>
    <row r="978" spans="16:21" x14ac:dyDescent="0.3">
      <c r="P978" s="1"/>
      <c r="U978" s="1"/>
    </row>
    <row r="979" spans="16:21" x14ac:dyDescent="0.3">
      <c r="P979" s="1"/>
      <c r="U979" s="1"/>
    </row>
    <row r="980" spans="16:21" x14ac:dyDescent="0.3">
      <c r="P980" s="1"/>
      <c r="U980" s="1"/>
    </row>
    <row r="981" spans="16:21" x14ac:dyDescent="0.3">
      <c r="P981" s="1"/>
      <c r="U981" s="1"/>
    </row>
    <row r="982" spans="16:21" x14ac:dyDescent="0.3">
      <c r="P982" s="1"/>
      <c r="U982" s="1"/>
    </row>
    <row r="983" spans="16:21" x14ac:dyDescent="0.3">
      <c r="P983" s="1"/>
      <c r="U983" s="1"/>
    </row>
    <row r="984" spans="16:21" x14ac:dyDescent="0.3">
      <c r="P984" s="1"/>
      <c r="U984" s="1"/>
    </row>
    <row r="985" spans="16:21" x14ac:dyDescent="0.3">
      <c r="P985" s="1"/>
      <c r="U985" s="1"/>
    </row>
    <row r="986" spans="16:21" x14ac:dyDescent="0.3">
      <c r="P986" s="1"/>
      <c r="U986" s="1"/>
    </row>
    <row r="987" spans="16:21" x14ac:dyDescent="0.3">
      <c r="P987" s="1"/>
      <c r="U987" s="1"/>
    </row>
    <row r="988" spans="16:21" x14ac:dyDescent="0.3">
      <c r="P988" s="1"/>
      <c r="U988" s="1"/>
    </row>
    <row r="989" spans="16:21" x14ac:dyDescent="0.3">
      <c r="P989" s="1"/>
      <c r="U989" s="1"/>
    </row>
    <row r="990" spans="16:21" x14ac:dyDescent="0.3">
      <c r="P990" s="1"/>
      <c r="U990" s="1"/>
    </row>
    <row r="991" spans="16:21" x14ac:dyDescent="0.3">
      <c r="P991" s="1"/>
      <c r="U991" s="1"/>
    </row>
    <row r="992" spans="16:21" x14ac:dyDescent="0.3">
      <c r="P992" s="1"/>
      <c r="U992" s="1"/>
    </row>
    <row r="993" spans="16:21" x14ac:dyDescent="0.3">
      <c r="P993" s="1"/>
      <c r="U993" s="1"/>
    </row>
    <row r="994" spans="16:21" x14ac:dyDescent="0.3">
      <c r="P994" s="1"/>
      <c r="U994" s="1"/>
    </row>
    <row r="995" spans="16:21" x14ac:dyDescent="0.3">
      <c r="P995" s="1"/>
      <c r="U995" s="1"/>
    </row>
    <row r="996" spans="16:21" x14ac:dyDescent="0.3">
      <c r="P996" s="1"/>
      <c r="U996" s="1"/>
    </row>
    <row r="997" spans="16:21" x14ac:dyDescent="0.3">
      <c r="P997" s="1"/>
      <c r="U997" s="1"/>
    </row>
    <row r="998" spans="16:21" x14ac:dyDescent="0.3">
      <c r="P998" s="1"/>
      <c r="U998" s="1"/>
    </row>
    <row r="999" spans="16:21" x14ac:dyDescent="0.3">
      <c r="P999" s="1"/>
      <c r="U999" s="1"/>
    </row>
    <row r="1000" spans="16:21" x14ac:dyDescent="0.3">
      <c r="P1000" s="1"/>
      <c r="U1000" s="1"/>
    </row>
    <row r="1001" spans="16:21" x14ac:dyDescent="0.3">
      <c r="P1001" s="1"/>
      <c r="U1001" s="1"/>
    </row>
    <row r="1002" spans="16:21" x14ac:dyDescent="0.3">
      <c r="P1002" s="1"/>
      <c r="U1002" s="1"/>
    </row>
    <row r="1003" spans="16:21" x14ac:dyDescent="0.3">
      <c r="P1003" s="1"/>
      <c r="U1003" s="1"/>
    </row>
    <row r="1004" spans="16:21" x14ac:dyDescent="0.3">
      <c r="P1004" s="1"/>
      <c r="U1004" s="1"/>
    </row>
    <row r="1005" spans="16:21" x14ac:dyDescent="0.3">
      <c r="P1005" s="1"/>
      <c r="U1005" s="1"/>
    </row>
    <row r="1006" spans="16:21" x14ac:dyDescent="0.3">
      <c r="P1006" s="1"/>
      <c r="U1006" s="1"/>
    </row>
    <row r="1007" spans="16:21" x14ac:dyDescent="0.3">
      <c r="P1007" s="1"/>
      <c r="U1007" s="1"/>
    </row>
    <row r="1008" spans="16:21" x14ac:dyDescent="0.3">
      <c r="P1008" s="1"/>
      <c r="U1008" s="1"/>
    </row>
    <row r="1009" spans="16:21" x14ac:dyDescent="0.3">
      <c r="P1009" s="1"/>
      <c r="U1009" s="1"/>
    </row>
    <row r="1010" spans="16:21" x14ac:dyDescent="0.3">
      <c r="P1010" s="1"/>
      <c r="U1010" s="1"/>
    </row>
    <row r="1011" spans="16:21" x14ac:dyDescent="0.3">
      <c r="P1011" s="1"/>
      <c r="U1011" s="1"/>
    </row>
    <row r="1012" spans="16:21" x14ac:dyDescent="0.3">
      <c r="P1012" s="1"/>
      <c r="U1012" s="1"/>
    </row>
    <row r="1013" spans="16:21" x14ac:dyDescent="0.3">
      <c r="P1013" s="1"/>
      <c r="U1013" s="1"/>
    </row>
    <row r="1014" spans="16:21" x14ac:dyDescent="0.3">
      <c r="P1014" s="1"/>
      <c r="U1014" s="1"/>
    </row>
    <row r="1015" spans="16:21" x14ac:dyDescent="0.3">
      <c r="P1015" s="1"/>
      <c r="U1015" s="1"/>
    </row>
    <row r="1016" spans="16:21" x14ac:dyDescent="0.3">
      <c r="P1016" s="1"/>
      <c r="U1016" s="1"/>
    </row>
    <row r="1017" spans="16:21" x14ac:dyDescent="0.3">
      <c r="P1017" s="1"/>
      <c r="U1017" s="1"/>
    </row>
    <row r="1018" spans="16:21" x14ac:dyDescent="0.3">
      <c r="P1018" s="1"/>
      <c r="U1018" s="1"/>
    </row>
    <row r="1019" spans="16:21" x14ac:dyDescent="0.3">
      <c r="P1019" s="1"/>
      <c r="U1019" s="1"/>
    </row>
    <row r="1020" spans="16:21" x14ac:dyDescent="0.3">
      <c r="P1020" s="1"/>
      <c r="U1020" s="1"/>
    </row>
    <row r="1021" spans="16:21" x14ac:dyDescent="0.3">
      <c r="P1021" s="1"/>
      <c r="U1021" s="1"/>
    </row>
    <row r="1022" spans="16:21" x14ac:dyDescent="0.3">
      <c r="P1022" s="1"/>
      <c r="U1022" s="1"/>
    </row>
    <row r="1023" spans="16:21" x14ac:dyDescent="0.3">
      <c r="P1023" s="1"/>
      <c r="U1023" s="1"/>
    </row>
    <row r="1024" spans="16:21" x14ac:dyDescent="0.3">
      <c r="P1024" s="1"/>
      <c r="U1024" s="1"/>
    </row>
    <row r="1025" spans="16:21" x14ac:dyDescent="0.3">
      <c r="P1025" s="1"/>
      <c r="U1025" s="1"/>
    </row>
    <row r="1026" spans="16:21" x14ac:dyDescent="0.3">
      <c r="P1026" s="1"/>
      <c r="U1026" s="1"/>
    </row>
    <row r="1027" spans="16:21" x14ac:dyDescent="0.3">
      <c r="P1027" s="1"/>
      <c r="U1027" s="1"/>
    </row>
    <row r="1028" spans="16:21" x14ac:dyDescent="0.3">
      <c r="P1028" s="1"/>
      <c r="U1028" s="1"/>
    </row>
    <row r="1029" spans="16:21" x14ac:dyDescent="0.3">
      <c r="P1029" s="1"/>
      <c r="U1029" s="1"/>
    </row>
    <row r="1030" spans="16:21" x14ac:dyDescent="0.3">
      <c r="P1030" s="1"/>
      <c r="U1030" s="1"/>
    </row>
    <row r="1031" spans="16:21" x14ac:dyDescent="0.3">
      <c r="P1031" s="1"/>
      <c r="U1031" s="1"/>
    </row>
    <row r="1032" spans="16:21" x14ac:dyDescent="0.3">
      <c r="P1032" s="1"/>
      <c r="U1032" s="1"/>
    </row>
    <row r="1033" spans="16:21" x14ac:dyDescent="0.3">
      <c r="P1033" s="1"/>
      <c r="U1033" s="1"/>
    </row>
    <row r="1034" spans="16:21" x14ac:dyDescent="0.3">
      <c r="P1034" s="1"/>
      <c r="U1034" s="1"/>
    </row>
    <row r="1035" spans="16:21" x14ac:dyDescent="0.3">
      <c r="P1035" s="1"/>
      <c r="U1035" s="1"/>
    </row>
    <row r="1036" spans="16:21" x14ac:dyDescent="0.3">
      <c r="P1036" s="1"/>
      <c r="U1036" s="1"/>
    </row>
    <row r="1037" spans="16:21" x14ac:dyDescent="0.3">
      <c r="P1037" s="1"/>
      <c r="U1037" s="1"/>
    </row>
    <row r="1038" spans="16:21" x14ac:dyDescent="0.3">
      <c r="P1038" s="1"/>
      <c r="U1038" s="1"/>
    </row>
    <row r="1039" spans="16:21" x14ac:dyDescent="0.3">
      <c r="P1039" s="1"/>
      <c r="U1039" s="1"/>
    </row>
    <row r="1040" spans="16:21" x14ac:dyDescent="0.3">
      <c r="P1040" s="1"/>
      <c r="U1040" s="1"/>
    </row>
    <row r="1041" spans="16:21" x14ac:dyDescent="0.3">
      <c r="P1041" s="1"/>
      <c r="U1041" s="1"/>
    </row>
    <row r="1042" spans="16:21" x14ac:dyDescent="0.3">
      <c r="P1042" s="1"/>
      <c r="U1042" s="1"/>
    </row>
    <row r="1043" spans="16:21" x14ac:dyDescent="0.3">
      <c r="P1043" s="1"/>
      <c r="U1043" s="1"/>
    </row>
    <row r="1044" spans="16:21" x14ac:dyDescent="0.3">
      <c r="P1044" s="1"/>
      <c r="U1044" s="1"/>
    </row>
    <row r="1045" spans="16:21" x14ac:dyDescent="0.3">
      <c r="P1045" s="1"/>
      <c r="U1045" s="1"/>
    </row>
    <row r="1046" spans="16:21" x14ac:dyDescent="0.3">
      <c r="P1046" s="1"/>
      <c r="U1046" s="1"/>
    </row>
    <row r="1047" spans="16:21" x14ac:dyDescent="0.3">
      <c r="P1047" s="1"/>
      <c r="U1047" s="1"/>
    </row>
    <row r="1048" spans="16:21" x14ac:dyDescent="0.3">
      <c r="P1048" s="1"/>
      <c r="U1048" s="1"/>
    </row>
    <row r="1049" spans="16:21" x14ac:dyDescent="0.3">
      <c r="P1049" s="1"/>
      <c r="U1049" s="1"/>
    </row>
    <row r="1050" spans="16:21" x14ac:dyDescent="0.3">
      <c r="P1050" s="1"/>
      <c r="U1050" s="1"/>
    </row>
    <row r="1051" spans="16:21" x14ac:dyDescent="0.3">
      <c r="P1051" s="1"/>
      <c r="U1051" s="1"/>
    </row>
    <row r="1052" spans="16:21" x14ac:dyDescent="0.3">
      <c r="P1052" s="1"/>
      <c r="U1052" s="1"/>
    </row>
    <row r="1053" spans="16:21" x14ac:dyDescent="0.3">
      <c r="P1053" s="1"/>
      <c r="U1053" s="1"/>
    </row>
    <row r="1054" spans="16:21" x14ac:dyDescent="0.3">
      <c r="P1054" s="1"/>
      <c r="U1054" s="1"/>
    </row>
    <row r="1055" spans="16:21" x14ac:dyDescent="0.3">
      <c r="P1055" s="1"/>
      <c r="U1055" s="1"/>
    </row>
    <row r="1056" spans="16:21" x14ac:dyDescent="0.3">
      <c r="P1056" s="1"/>
      <c r="U1056" s="1"/>
    </row>
    <row r="1057" spans="16:21" x14ac:dyDescent="0.3">
      <c r="P1057" s="1"/>
      <c r="U1057" s="1"/>
    </row>
    <row r="1058" spans="16:21" x14ac:dyDescent="0.3">
      <c r="P1058" s="1"/>
      <c r="U1058" s="1"/>
    </row>
    <row r="1059" spans="16:21" x14ac:dyDescent="0.3">
      <c r="P1059" s="1"/>
      <c r="U1059" s="1"/>
    </row>
    <row r="1060" spans="16:21" x14ac:dyDescent="0.3">
      <c r="P1060" s="1"/>
      <c r="U1060" s="1"/>
    </row>
    <row r="1061" spans="16:21" x14ac:dyDescent="0.3">
      <c r="P1061" s="1"/>
      <c r="U1061" s="1"/>
    </row>
    <row r="1062" spans="16:21" x14ac:dyDescent="0.3">
      <c r="P1062" s="1"/>
      <c r="U1062" s="1"/>
    </row>
    <row r="1063" spans="16:21" x14ac:dyDescent="0.3">
      <c r="P1063" s="1"/>
      <c r="U1063" s="1"/>
    </row>
    <row r="1064" spans="16:21" x14ac:dyDescent="0.3">
      <c r="P1064" s="1"/>
      <c r="U1064" s="1"/>
    </row>
    <row r="1065" spans="16:21" x14ac:dyDescent="0.3">
      <c r="P1065" s="1"/>
      <c r="U1065" s="1"/>
    </row>
    <row r="1066" spans="16:21" x14ac:dyDescent="0.3">
      <c r="P1066" s="1"/>
      <c r="U1066" s="1"/>
    </row>
    <row r="1067" spans="16:21" x14ac:dyDescent="0.3">
      <c r="P1067" s="1"/>
      <c r="U1067" s="1"/>
    </row>
    <row r="1068" spans="16:21" x14ac:dyDescent="0.3">
      <c r="P1068" s="1"/>
      <c r="U1068" s="1"/>
    </row>
    <row r="1069" spans="16:21" x14ac:dyDescent="0.3">
      <c r="P1069" s="1"/>
      <c r="U1069" s="1"/>
    </row>
    <row r="1070" spans="16:21" x14ac:dyDescent="0.3">
      <c r="P1070" s="1"/>
      <c r="U1070" s="1"/>
    </row>
    <row r="1071" spans="16:21" x14ac:dyDescent="0.3">
      <c r="P1071" s="1"/>
      <c r="U1071" s="1"/>
    </row>
    <row r="1072" spans="16:21" x14ac:dyDescent="0.3">
      <c r="P1072" s="1"/>
      <c r="U1072" s="1"/>
    </row>
    <row r="1073" spans="16:21" x14ac:dyDescent="0.3">
      <c r="P1073" s="1"/>
      <c r="U1073" s="1"/>
    </row>
    <row r="1074" spans="16:21" x14ac:dyDescent="0.3">
      <c r="P1074" s="1"/>
      <c r="U1074" s="1"/>
    </row>
    <row r="1075" spans="16:21" x14ac:dyDescent="0.3">
      <c r="P1075" s="1"/>
      <c r="U1075" s="1"/>
    </row>
    <row r="1076" spans="16:21" x14ac:dyDescent="0.3">
      <c r="P1076" s="1"/>
      <c r="U1076" s="1"/>
    </row>
    <row r="1077" spans="16:21" x14ac:dyDescent="0.3">
      <c r="P1077" s="1"/>
      <c r="U1077" s="1"/>
    </row>
    <row r="1078" spans="16:21" x14ac:dyDescent="0.3">
      <c r="P1078" s="1"/>
      <c r="U1078" s="1"/>
    </row>
    <row r="1079" spans="16:21" x14ac:dyDescent="0.3">
      <c r="P1079" s="1"/>
      <c r="U1079" s="1"/>
    </row>
    <row r="1080" spans="16:21" x14ac:dyDescent="0.3">
      <c r="P1080" s="1"/>
      <c r="U1080" s="1"/>
    </row>
    <row r="1081" spans="16:21" x14ac:dyDescent="0.3">
      <c r="P1081" s="1"/>
      <c r="U1081" s="1"/>
    </row>
    <row r="1082" spans="16:21" x14ac:dyDescent="0.3">
      <c r="P1082" s="1"/>
      <c r="U1082" s="1"/>
    </row>
    <row r="1083" spans="16:21" x14ac:dyDescent="0.3">
      <c r="P1083" s="1"/>
      <c r="U1083" s="1"/>
    </row>
    <row r="1084" spans="16:21" x14ac:dyDescent="0.3">
      <c r="P1084" s="1"/>
      <c r="U1084" s="1"/>
    </row>
    <row r="1085" spans="16:21" x14ac:dyDescent="0.3">
      <c r="P1085" s="1"/>
      <c r="U1085" s="1"/>
    </row>
    <row r="1086" spans="16:21" x14ac:dyDescent="0.3">
      <c r="P1086" s="1"/>
      <c r="U1086" s="1"/>
    </row>
    <row r="1087" spans="16:21" x14ac:dyDescent="0.3">
      <c r="P1087" s="1"/>
      <c r="U1087" s="1"/>
    </row>
    <row r="1088" spans="16:21" x14ac:dyDescent="0.3">
      <c r="P1088" s="1"/>
      <c r="U1088" s="1"/>
    </row>
    <row r="1089" spans="16:21" x14ac:dyDescent="0.3">
      <c r="P1089" s="1"/>
      <c r="U1089" s="1"/>
    </row>
    <row r="1090" spans="16:21" x14ac:dyDescent="0.3">
      <c r="P1090" s="1"/>
      <c r="U1090" s="1"/>
    </row>
    <row r="1091" spans="16:21" x14ac:dyDescent="0.3">
      <c r="P1091" s="1"/>
      <c r="U1091" s="1"/>
    </row>
    <row r="1092" spans="16:21" x14ac:dyDescent="0.3">
      <c r="P1092" s="1"/>
      <c r="U1092" s="1"/>
    </row>
    <row r="1093" spans="16:21" x14ac:dyDescent="0.3">
      <c r="P1093" s="1"/>
      <c r="U1093" s="1"/>
    </row>
    <row r="1094" spans="16:21" x14ac:dyDescent="0.3">
      <c r="P1094" s="1"/>
      <c r="U1094" s="1"/>
    </row>
    <row r="1095" spans="16:21" x14ac:dyDescent="0.3">
      <c r="P1095" s="1"/>
      <c r="U1095" s="1"/>
    </row>
    <row r="1096" spans="16:21" x14ac:dyDescent="0.3">
      <c r="P1096" s="1"/>
      <c r="U1096" s="1"/>
    </row>
    <row r="1097" spans="16:21" x14ac:dyDescent="0.3">
      <c r="P1097" s="1"/>
      <c r="U1097" s="1"/>
    </row>
    <row r="1098" spans="16:21" x14ac:dyDescent="0.3">
      <c r="P1098" s="1"/>
      <c r="U1098" s="1"/>
    </row>
    <row r="1099" spans="16:21" x14ac:dyDescent="0.3">
      <c r="P1099" s="1"/>
      <c r="U1099" s="1"/>
    </row>
    <row r="1100" spans="16:21" x14ac:dyDescent="0.3">
      <c r="P1100" s="1"/>
      <c r="U1100" s="1"/>
    </row>
    <row r="1101" spans="16:21" x14ac:dyDescent="0.3">
      <c r="P1101" s="1"/>
      <c r="U1101" s="1"/>
    </row>
    <row r="1102" spans="16:21" x14ac:dyDescent="0.3">
      <c r="P1102" s="1"/>
      <c r="U1102" s="1"/>
    </row>
    <row r="1103" spans="16:21" x14ac:dyDescent="0.3">
      <c r="P1103" s="1"/>
      <c r="U1103" s="1"/>
    </row>
    <row r="1104" spans="16:21" x14ac:dyDescent="0.3">
      <c r="P1104" s="1"/>
      <c r="U1104" s="1"/>
    </row>
    <row r="1105" spans="16:21" x14ac:dyDescent="0.3">
      <c r="P1105" s="1"/>
      <c r="U1105" s="1"/>
    </row>
    <row r="1106" spans="16:21" x14ac:dyDescent="0.3">
      <c r="P1106" s="1"/>
      <c r="U1106" s="1"/>
    </row>
    <row r="1107" spans="16:21" x14ac:dyDescent="0.3">
      <c r="P1107" s="1"/>
      <c r="U1107" s="1"/>
    </row>
    <row r="1108" spans="16:21" x14ac:dyDescent="0.3">
      <c r="P1108" s="1"/>
      <c r="U1108" s="1"/>
    </row>
    <row r="1109" spans="16:21" x14ac:dyDescent="0.3">
      <c r="P1109" s="1"/>
      <c r="U1109" s="1"/>
    </row>
    <row r="1110" spans="16:21" x14ac:dyDescent="0.3">
      <c r="P1110" s="1"/>
      <c r="U1110" s="1"/>
    </row>
    <row r="1111" spans="16:21" x14ac:dyDescent="0.3">
      <c r="P1111" s="1"/>
      <c r="U1111" s="1"/>
    </row>
    <row r="1112" spans="16:21" x14ac:dyDescent="0.3">
      <c r="P1112" s="1"/>
      <c r="U1112" s="1"/>
    </row>
    <row r="1113" spans="16:21" x14ac:dyDescent="0.3">
      <c r="P1113" s="1"/>
      <c r="U1113" s="1"/>
    </row>
    <row r="1114" spans="16:21" x14ac:dyDescent="0.3">
      <c r="P1114" s="1"/>
      <c r="U1114" s="1"/>
    </row>
    <row r="1115" spans="16:21" x14ac:dyDescent="0.3">
      <c r="P1115" s="1"/>
      <c r="U1115" s="1"/>
    </row>
    <row r="1116" spans="16:21" x14ac:dyDescent="0.3">
      <c r="P1116" s="1"/>
      <c r="U1116" s="1"/>
    </row>
    <row r="1117" spans="16:21" x14ac:dyDescent="0.3">
      <c r="P1117" s="1"/>
      <c r="U1117" s="1"/>
    </row>
    <row r="1118" spans="16:21" x14ac:dyDescent="0.3">
      <c r="P1118" s="1"/>
      <c r="U1118" s="1"/>
    </row>
    <row r="1119" spans="16:21" x14ac:dyDescent="0.3">
      <c r="P1119" s="1"/>
      <c r="U1119" s="1"/>
    </row>
    <row r="1120" spans="16:21" x14ac:dyDescent="0.3">
      <c r="P1120" s="1"/>
      <c r="U1120" s="1"/>
    </row>
    <row r="1121" spans="16:21" x14ac:dyDescent="0.3">
      <c r="P1121" s="1"/>
      <c r="U1121" s="1"/>
    </row>
    <row r="1122" spans="16:21" x14ac:dyDescent="0.3">
      <c r="P1122" s="1"/>
      <c r="U1122" s="1"/>
    </row>
    <row r="1123" spans="16:21" x14ac:dyDescent="0.3">
      <c r="P1123" s="1"/>
      <c r="U1123" s="1"/>
    </row>
    <row r="1124" spans="16:21" x14ac:dyDescent="0.3">
      <c r="P1124" s="1"/>
      <c r="U1124" s="1"/>
    </row>
    <row r="1125" spans="16:21" x14ac:dyDescent="0.3">
      <c r="P1125" s="1"/>
      <c r="U1125" s="1"/>
    </row>
    <row r="1126" spans="16:21" x14ac:dyDescent="0.3">
      <c r="P1126" s="1"/>
      <c r="U1126" s="1"/>
    </row>
    <row r="1127" spans="16:21" x14ac:dyDescent="0.3">
      <c r="P1127" s="1"/>
      <c r="U1127" s="1"/>
    </row>
    <row r="1128" spans="16:21" x14ac:dyDescent="0.3">
      <c r="P1128" s="1"/>
      <c r="U1128" s="1"/>
    </row>
    <row r="1129" spans="16:21" x14ac:dyDescent="0.3">
      <c r="P1129" s="1"/>
      <c r="U1129" s="1"/>
    </row>
    <row r="1130" spans="16:21" x14ac:dyDescent="0.3">
      <c r="P1130" s="1"/>
      <c r="U1130" s="1"/>
    </row>
    <row r="1131" spans="16:21" x14ac:dyDescent="0.3">
      <c r="P1131" s="1"/>
      <c r="U1131" s="1"/>
    </row>
    <row r="1132" spans="16:21" x14ac:dyDescent="0.3">
      <c r="P1132" s="1"/>
      <c r="U1132" s="1"/>
    </row>
    <row r="1133" spans="16:21" x14ac:dyDescent="0.3">
      <c r="P1133" s="1"/>
      <c r="U1133" s="1"/>
    </row>
    <row r="1134" spans="16:21" x14ac:dyDescent="0.3">
      <c r="P1134" s="1"/>
      <c r="U1134" s="1"/>
    </row>
    <row r="1135" spans="16:21" x14ac:dyDescent="0.3">
      <c r="P1135" s="1"/>
      <c r="U1135" s="1"/>
    </row>
    <row r="1136" spans="16:21" x14ac:dyDescent="0.3">
      <c r="P1136" s="1"/>
      <c r="U1136" s="1"/>
    </row>
    <row r="1137" spans="16:21" x14ac:dyDescent="0.3">
      <c r="P1137" s="1"/>
      <c r="U1137" s="1"/>
    </row>
    <row r="1138" spans="16:21" x14ac:dyDescent="0.3">
      <c r="P1138" s="1"/>
      <c r="U1138" s="1"/>
    </row>
    <row r="1139" spans="16:21" x14ac:dyDescent="0.3">
      <c r="P1139" s="1"/>
      <c r="U1139" s="1"/>
    </row>
    <row r="1140" spans="16:21" x14ac:dyDescent="0.3">
      <c r="P1140" s="1"/>
      <c r="U1140" s="1"/>
    </row>
    <row r="1141" spans="16:21" x14ac:dyDescent="0.3">
      <c r="P1141" s="1"/>
      <c r="U1141" s="1"/>
    </row>
    <row r="1142" spans="16:21" x14ac:dyDescent="0.3">
      <c r="P1142" s="1"/>
      <c r="U1142" s="1"/>
    </row>
    <row r="1143" spans="16:21" x14ac:dyDescent="0.3">
      <c r="P1143" s="1"/>
      <c r="U1143" s="1"/>
    </row>
    <row r="1144" spans="16:21" x14ac:dyDescent="0.3">
      <c r="P1144" s="1"/>
      <c r="U1144" s="1"/>
    </row>
    <row r="1145" spans="16:21" x14ac:dyDescent="0.3">
      <c r="P1145" s="1"/>
      <c r="U1145" s="1"/>
    </row>
    <row r="1146" spans="16:21" x14ac:dyDescent="0.3">
      <c r="P1146" s="1"/>
      <c r="U1146" s="1"/>
    </row>
    <row r="1147" spans="16:21" x14ac:dyDescent="0.3">
      <c r="P1147" s="1"/>
      <c r="U1147" s="1"/>
    </row>
    <row r="1148" spans="16:21" x14ac:dyDescent="0.3">
      <c r="P1148" s="1"/>
      <c r="U1148" s="1"/>
    </row>
    <row r="1149" spans="16:21" x14ac:dyDescent="0.3">
      <c r="P1149" s="1"/>
      <c r="U1149" s="1"/>
    </row>
    <row r="1150" spans="16:21" x14ac:dyDescent="0.3">
      <c r="P1150" s="1"/>
      <c r="U1150" s="1"/>
    </row>
    <row r="1151" spans="16:21" x14ac:dyDescent="0.3">
      <c r="P1151" s="1"/>
      <c r="U1151" s="1"/>
    </row>
    <row r="1152" spans="16:21" x14ac:dyDescent="0.3">
      <c r="P1152" s="1"/>
      <c r="U1152" s="1"/>
    </row>
    <row r="1153" spans="16:21" x14ac:dyDescent="0.3">
      <c r="P1153" s="1"/>
      <c r="U1153" s="1"/>
    </row>
    <row r="1154" spans="16:21" x14ac:dyDescent="0.3">
      <c r="P1154" s="1"/>
      <c r="U1154" s="1"/>
    </row>
    <row r="1155" spans="16:21" x14ac:dyDescent="0.3">
      <c r="P1155" s="1"/>
      <c r="U1155" s="1"/>
    </row>
    <row r="1156" spans="16:21" x14ac:dyDescent="0.3">
      <c r="P1156" s="1"/>
      <c r="U1156" s="1"/>
    </row>
    <row r="1157" spans="16:21" x14ac:dyDescent="0.3">
      <c r="P1157" s="1"/>
      <c r="U1157" s="1"/>
    </row>
    <row r="1158" spans="16:21" x14ac:dyDescent="0.3">
      <c r="P1158" s="1"/>
      <c r="U1158" s="1"/>
    </row>
    <row r="1159" spans="16:21" x14ac:dyDescent="0.3">
      <c r="P1159" s="1"/>
      <c r="U1159" s="1"/>
    </row>
    <row r="1160" spans="16:21" x14ac:dyDescent="0.3">
      <c r="P1160" s="1"/>
      <c r="U1160" s="1"/>
    </row>
    <row r="1161" spans="16:21" x14ac:dyDescent="0.3">
      <c r="P1161" s="1"/>
      <c r="U1161" s="1"/>
    </row>
    <row r="1162" spans="16:21" x14ac:dyDescent="0.3">
      <c r="P1162" s="1"/>
      <c r="U1162" s="1"/>
    </row>
    <row r="1163" spans="16:21" x14ac:dyDescent="0.3">
      <c r="P1163" s="1"/>
      <c r="U1163" s="1"/>
    </row>
    <row r="1164" spans="16:21" x14ac:dyDescent="0.3">
      <c r="P1164" s="1"/>
      <c r="U1164" s="1"/>
    </row>
    <row r="1165" spans="16:21" x14ac:dyDescent="0.3">
      <c r="P1165" s="1"/>
      <c r="U1165" s="1"/>
    </row>
    <row r="1166" spans="16:21" x14ac:dyDescent="0.3">
      <c r="P1166" s="1"/>
      <c r="U1166" s="1"/>
    </row>
    <row r="1167" spans="16:21" x14ac:dyDescent="0.3">
      <c r="P1167" s="1"/>
      <c r="U1167" s="1"/>
    </row>
    <row r="1168" spans="16:21" x14ac:dyDescent="0.3">
      <c r="P1168" s="1"/>
      <c r="U1168" s="1"/>
    </row>
    <row r="1169" spans="16:21" x14ac:dyDescent="0.3">
      <c r="P1169" s="1"/>
      <c r="U1169" s="1"/>
    </row>
    <row r="1170" spans="16:21" x14ac:dyDescent="0.3">
      <c r="P1170" s="1"/>
      <c r="U1170" s="1"/>
    </row>
    <row r="1171" spans="16:21" x14ac:dyDescent="0.3">
      <c r="P1171" s="1"/>
      <c r="U1171" s="1"/>
    </row>
    <row r="1172" spans="16:21" x14ac:dyDescent="0.3">
      <c r="P1172" s="1"/>
      <c r="U1172" s="1"/>
    </row>
    <row r="1173" spans="16:21" x14ac:dyDescent="0.3">
      <c r="P1173" s="1"/>
      <c r="U1173" s="1"/>
    </row>
    <row r="1174" spans="16:21" x14ac:dyDescent="0.3">
      <c r="P1174" s="1"/>
      <c r="U1174" s="1"/>
    </row>
    <row r="1175" spans="16:21" x14ac:dyDescent="0.3">
      <c r="P1175" s="1"/>
      <c r="U1175" s="1"/>
    </row>
    <row r="1176" spans="16:21" x14ac:dyDescent="0.3">
      <c r="P1176" s="1"/>
      <c r="U1176" s="1"/>
    </row>
    <row r="1177" spans="16:21" x14ac:dyDescent="0.3">
      <c r="P1177" s="1"/>
      <c r="U1177" s="1"/>
    </row>
    <row r="1178" spans="16:21" x14ac:dyDescent="0.3">
      <c r="P1178" s="1"/>
      <c r="U1178" s="1"/>
    </row>
    <row r="1179" spans="16:21" x14ac:dyDescent="0.3">
      <c r="P1179" s="1"/>
      <c r="U1179" s="1"/>
    </row>
    <row r="1180" spans="16:21" x14ac:dyDescent="0.3">
      <c r="P1180" s="1"/>
      <c r="U1180" s="1"/>
    </row>
    <row r="1181" spans="16:21" x14ac:dyDescent="0.3">
      <c r="P1181" s="1"/>
      <c r="U1181" s="1"/>
    </row>
    <row r="1182" spans="16:21" x14ac:dyDescent="0.3">
      <c r="P1182" s="1"/>
      <c r="U1182" s="1"/>
    </row>
    <row r="1183" spans="16:21" x14ac:dyDescent="0.3">
      <c r="P1183" s="1"/>
      <c r="U1183" s="1"/>
    </row>
    <row r="1184" spans="16:21" x14ac:dyDescent="0.3">
      <c r="P1184" s="1"/>
      <c r="U1184" s="1"/>
    </row>
    <row r="1185" spans="16:21" x14ac:dyDescent="0.3">
      <c r="P1185" s="1"/>
      <c r="U1185" s="1"/>
    </row>
    <row r="1186" spans="16:21" x14ac:dyDescent="0.3">
      <c r="P1186" s="1"/>
      <c r="U1186" s="1"/>
    </row>
    <row r="1187" spans="16:21" x14ac:dyDescent="0.3">
      <c r="P1187" s="1"/>
      <c r="U1187" s="1"/>
    </row>
    <row r="1188" spans="16:21" x14ac:dyDescent="0.3">
      <c r="P1188" s="1"/>
      <c r="U1188" s="1"/>
    </row>
    <row r="1189" spans="16:21" x14ac:dyDescent="0.3">
      <c r="P1189" s="1"/>
      <c r="U1189" s="1"/>
    </row>
    <row r="1190" spans="16:21" x14ac:dyDescent="0.3">
      <c r="P1190" s="1"/>
      <c r="U1190" s="1"/>
    </row>
    <row r="1191" spans="16:21" x14ac:dyDescent="0.3">
      <c r="P1191" s="1"/>
      <c r="U1191" s="1"/>
    </row>
    <row r="1192" spans="16:21" x14ac:dyDescent="0.3">
      <c r="P1192" s="1"/>
      <c r="U1192" s="1"/>
    </row>
    <row r="1193" spans="16:21" x14ac:dyDescent="0.3">
      <c r="P1193" s="1"/>
      <c r="U1193" s="1"/>
    </row>
    <row r="1194" spans="16:21" x14ac:dyDescent="0.3">
      <c r="P1194" s="1"/>
      <c r="U1194" s="1"/>
    </row>
    <row r="1195" spans="16:21" x14ac:dyDescent="0.3">
      <c r="P1195" s="1"/>
      <c r="U1195" s="1"/>
    </row>
    <row r="1196" spans="16:21" x14ac:dyDescent="0.3">
      <c r="P1196" s="1"/>
      <c r="U1196" s="1"/>
    </row>
    <row r="1197" spans="16:21" x14ac:dyDescent="0.3">
      <c r="P1197" s="1"/>
      <c r="U1197" s="1"/>
    </row>
    <row r="1198" spans="16:21" x14ac:dyDescent="0.3">
      <c r="P1198" s="1"/>
      <c r="U1198" s="1"/>
    </row>
    <row r="1199" spans="16:21" x14ac:dyDescent="0.3">
      <c r="P1199" s="1"/>
      <c r="U1199" s="1"/>
    </row>
    <row r="1200" spans="16:21" x14ac:dyDescent="0.3">
      <c r="P1200" s="1"/>
      <c r="U1200" s="1"/>
    </row>
    <row r="1201" spans="16:21" x14ac:dyDescent="0.3">
      <c r="P1201" s="1"/>
      <c r="U1201" s="1"/>
    </row>
    <row r="1202" spans="16:21" x14ac:dyDescent="0.3">
      <c r="P1202" s="1"/>
      <c r="U1202" s="1"/>
    </row>
    <row r="1203" spans="16:21" x14ac:dyDescent="0.3">
      <c r="P1203" s="1"/>
      <c r="U1203" s="1"/>
    </row>
    <row r="1204" spans="16:21" x14ac:dyDescent="0.3">
      <c r="P1204" s="1"/>
      <c r="U1204" s="1"/>
    </row>
    <row r="1205" spans="16:21" x14ac:dyDescent="0.3">
      <c r="P1205" s="1"/>
      <c r="U1205" s="1"/>
    </row>
    <row r="1206" spans="16:21" x14ac:dyDescent="0.3">
      <c r="P1206" s="1"/>
      <c r="U1206" s="1"/>
    </row>
    <row r="1207" spans="16:21" x14ac:dyDescent="0.3">
      <c r="P1207" s="1"/>
      <c r="U1207" s="1"/>
    </row>
    <row r="1208" spans="16:21" x14ac:dyDescent="0.3">
      <c r="P1208" s="1"/>
      <c r="U1208" s="1"/>
    </row>
    <row r="1209" spans="16:21" x14ac:dyDescent="0.3">
      <c r="P1209" s="1"/>
      <c r="U1209" s="1"/>
    </row>
    <row r="1210" spans="16:21" x14ac:dyDescent="0.3">
      <c r="P1210" s="1"/>
      <c r="U1210" s="1"/>
    </row>
    <row r="1211" spans="16:21" x14ac:dyDescent="0.3">
      <c r="P1211" s="1"/>
      <c r="U1211" s="1"/>
    </row>
    <row r="1212" spans="16:21" x14ac:dyDescent="0.3">
      <c r="P1212" s="1"/>
      <c r="U1212" s="1"/>
    </row>
    <row r="1213" spans="16:21" x14ac:dyDescent="0.3">
      <c r="P1213" s="1"/>
      <c r="U1213" s="1"/>
    </row>
    <row r="1214" spans="16:21" x14ac:dyDescent="0.3">
      <c r="P1214" s="1"/>
      <c r="U1214" s="1"/>
    </row>
    <row r="1215" spans="16:21" x14ac:dyDescent="0.3">
      <c r="P1215" s="1"/>
      <c r="U1215" s="1"/>
    </row>
    <row r="1216" spans="16:21" x14ac:dyDescent="0.3">
      <c r="P1216" s="1"/>
      <c r="U1216" s="1"/>
    </row>
    <row r="1217" spans="16:21" x14ac:dyDescent="0.3">
      <c r="P1217" s="1"/>
      <c r="U1217" s="1"/>
    </row>
    <row r="1218" spans="16:21" x14ac:dyDescent="0.3">
      <c r="P1218" s="1"/>
      <c r="U1218" s="1"/>
    </row>
    <row r="1219" spans="16:21" x14ac:dyDescent="0.3">
      <c r="P1219" s="1"/>
      <c r="U1219" s="1"/>
    </row>
    <row r="1220" spans="16:21" x14ac:dyDescent="0.3">
      <c r="P1220" s="1"/>
      <c r="U1220" s="1"/>
    </row>
    <row r="1221" spans="16:21" x14ac:dyDescent="0.3">
      <c r="P1221" s="1"/>
      <c r="U1221" s="1"/>
    </row>
    <row r="1222" spans="16:21" x14ac:dyDescent="0.3">
      <c r="P1222" s="1"/>
      <c r="U1222" s="1"/>
    </row>
    <row r="1223" spans="16:21" x14ac:dyDescent="0.3">
      <c r="P1223" s="1"/>
      <c r="U1223" s="1"/>
    </row>
    <row r="1224" spans="16:21" x14ac:dyDescent="0.3">
      <c r="P1224" s="1"/>
      <c r="U1224" s="1"/>
    </row>
    <row r="1225" spans="16:21" x14ac:dyDescent="0.3">
      <c r="P1225" s="1"/>
      <c r="U1225" s="1"/>
    </row>
    <row r="1226" spans="16:21" x14ac:dyDescent="0.3">
      <c r="P1226" s="1"/>
      <c r="U1226" s="1"/>
    </row>
    <row r="1227" spans="16:21" x14ac:dyDescent="0.3">
      <c r="P1227" s="1"/>
      <c r="U1227" s="1"/>
    </row>
    <row r="1228" spans="16:21" x14ac:dyDescent="0.3">
      <c r="P1228" s="1"/>
      <c r="U1228" s="1"/>
    </row>
    <row r="1229" spans="16:21" x14ac:dyDescent="0.3">
      <c r="P1229" s="1"/>
      <c r="U1229" s="1"/>
    </row>
    <row r="1230" spans="16:21" x14ac:dyDescent="0.3">
      <c r="P1230" s="1"/>
      <c r="U1230" s="1"/>
    </row>
    <row r="1231" spans="16:21" x14ac:dyDescent="0.3">
      <c r="P1231" s="1"/>
      <c r="U1231" s="1"/>
    </row>
    <row r="1232" spans="16:21" x14ac:dyDescent="0.3">
      <c r="P1232" s="1"/>
      <c r="U1232" s="1"/>
    </row>
    <row r="1233" spans="16:21" x14ac:dyDescent="0.3">
      <c r="P1233" s="1"/>
      <c r="U1233" s="1"/>
    </row>
    <row r="1234" spans="16:21" x14ac:dyDescent="0.3">
      <c r="P1234" s="1"/>
      <c r="U1234" s="1"/>
    </row>
    <row r="1235" spans="16:21" x14ac:dyDescent="0.3">
      <c r="P1235" s="1"/>
      <c r="U1235" s="1"/>
    </row>
    <row r="1236" spans="16:21" x14ac:dyDescent="0.3">
      <c r="P1236" s="1"/>
      <c r="U1236" s="1"/>
    </row>
    <row r="1237" spans="16:21" x14ac:dyDescent="0.3">
      <c r="P1237" s="1"/>
      <c r="U1237" s="1"/>
    </row>
    <row r="1238" spans="16:21" x14ac:dyDescent="0.3">
      <c r="P1238" s="1"/>
      <c r="U1238" s="1"/>
    </row>
    <row r="1239" spans="16:21" x14ac:dyDescent="0.3">
      <c r="P1239" s="1"/>
      <c r="U1239" s="1"/>
    </row>
    <row r="1240" spans="16:21" x14ac:dyDescent="0.3">
      <c r="P1240" s="1"/>
      <c r="U1240" s="1"/>
    </row>
    <row r="1241" spans="16:21" x14ac:dyDescent="0.3">
      <c r="P1241" s="1"/>
      <c r="U1241" s="1"/>
    </row>
    <row r="1242" spans="16:21" x14ac:dyDescent="0.3">
      <c r="P1242" s="1"/>
      <c r="U1242" s="1"/>
    </row>
    <row r="1243" spans="16:21" x14ac:dyDescent="0.3">
      <c r="P1243" s="1"/>
      <c r="U1243" s="1"/>
    </row>
    <row r="1244" spans="16:21" x14ac:dyDescent="0.3">
      <c r="P1244" s="1"/>
      <c r="U1244" s="1"/>
    </row>
    <row r="1245" spans="16:21" x14ac:dyDescent="0.3">
      <c r="P1245" s="1"/>
      <c r="U1245" s="1"/>
    </row>
    <row r="1246" spans="16:21" x14ac:dyDescent="0.3">
      <c r="P1246" s="1"/>
      <c r="U1246" s="1"/>
    </row>
    <row r="1247" spans="16:21" x14ac:dyDescent="0.3">
      <c r="P1247" s="1"/>
      <c r="U1247" s="1"/>
    </row>
    <row r="1248" spans="16:21" x14ac:dyDescent="0.3">
      <c r="P1248" s="1"/>
      <c r="U1248" s="1"/>
    </row>
    <row r="1249" spans="16:21" x14ac:dyDescent="0.3">
      <c r="P1249" s="1"/>
      <c r="U1249" s="1"/>
    </row>
    <row r="1250" spans="16:21" x14ac:dyDescent="0.3">
      <c r="P1250" s="1"/>
      <c r="U1250" s="1"/>
    </row>
    <row r="1251" spans="16:21" x14ac:dyDescent="0.3">
      <c r="P1251" s="1"/>
      <c r="U1251" s="1"/>
    </row>
    <row r="1252" spans="16:21" x14ac:dyDescent="0.3">
      <c r="P1252" s="1"/>
      <c r="U1252" s="1"/>
    </row>
    <row r="1253" spans="16:21" x14ac:dyDescent="0.3">
      <c r="P1253" s="1"/>
      <c r="U1253" s="1"/>
    </row>
    <row r="1254" spans="16:21" x14ac:dyDescent="0.3">
      <c r="P1254" s="1"/>
      <c r="U1254" s="1"/>
    </row>
    <row r="1255" spans="16:21" x14ac:dyDescent="0.3">
      <c r="P1255" s="1"/>
      <c r="U1255" s="1"/>
    </row>
    <row r="1256" spans="16:21" x14ac:dyDescent="0.3">
      <c r="P1256" s="1"/>
      <c r="U1256" s="1"/>
    </row>
    <row r="1257" spans="16:21" x14ac:dyDescent="0.3">
      <c r="P1257" s="1"/>
      <c r="U1257" s="1"/>
    </row>
    <row r="1258" spans="16:21" x14ac:dyDescent="0.3">
      <c r="P1258" s="1"/>
      <c r="U1258" s="1"/>
    </row>
    <row r="1259" spans="16:21" x14ac:dyDescent="0.3">
      <c r="P1259" s="1"/>
      <c r="U1259" s="1"/>
    </row>
    <row r="1260" spans="16:21" x14ac:dyDescent="0.3">
      <c r="P1260" s="1"/>
      <c r="U1260" s="1"/>
    </row>
    <row r="1261" spans="16:21" x14ac:dyDescent="0.3">
      <c r="P1261" s="1"/>
      <c r="U1261" s="1"/>
    </row>
    <row r="1262" spans="16:21" x14ac:dyDescent="0.3">
      <c r="P1262" s="1"/>
      <c r="U1262" s="1"/>
    </row>
    <row r="1263" spans="16:21" x14ac:dyDescent="0.3">
      <c r="P1263" s="1"/>
      <c r="U1263" s="1"/>
    </row>
    <row r="1264" spans="16:21" x14ac:dyDescent="0.3">
      <c r="P1264" s="1"/>
      <c r="U1264" s="1"/>
    </row>
    <row r="1265" spans="16:21" x14ac:dyDescent="0.3">
      <c r="P1265" s="1"/>
      <c r="U1265" s="1"/>
    </row>
    <row r="1266" spans="16:21" x14ac:dyDescent="0.3">
      <c r="P1266" s="1"/>
      <c r="U1266" s="1"/>
    </row>
    <row r="1267" spans="16:21" x14ac:dyDescent="0.3">
      <c r="P1267" s="1"/>
      <c r="U1267" s="1"/>
    </row>
    <row r="1268" spans="16:21" x14ac:dyDescent="0.3">
      <c r="P1268" s="1"/>
      <c r="U1268" s="1"/>
    </row>
    <row r="1269" spans="16:21" x14ac:dyDescent="0.3">
      <c r="P1269" s="1"/>
      <c r="U1269" s="1"/>
    </row>
    <row r="1270" spans="16:21" x14ac:dyDescent="0.3">
      <c r="P1270" s="1"/>
      <c r="U1270" s="1"/>
    </row>
    <row r="1271" spans="16:21" x14ac:dyDescent="0.3">
      <c r="P1271" s="1"/>
      <c r="U1271" s="1"/>
    </row>
    <row r="1272" spans="16:21" x14ac:dyDescent="0.3">
      <c r="P1272" s="1"/>
      <c r="U1272" s="1"/>
    </row>
    <row r="1273" spans="16:21" x14ac:dyDescent="0.3">
      <c r="P1273" s="1"/>
      <c r="U1273" s="1"/>
    </row>
    <row r="1274" spans="16:21" x14ac:dyDescent="0.3">
      <c r="P1274" s="1"/>
      <c r="U1274" s="1"/>
    </row>
    <row r="1275" spans="16:21" x14ac:dyDescent="0.3">
      <c r="P1275" s="1"/>
      <c r="U1275" s="1"/>
    </row>
    <row r="1276" spans="16:21" x14ac:dyDescent="0.3">
      <c r="P1276" s="1"/>
      <c r="U1276" s="1"/>
    </row>
    <row r="1277" spans="16:21" x14ac:dyDescent="0.3">
      <c r="P1277" s="1"/>
      <c r="U1277" s="1"/>
    </row>
    <row r="1278" spans="16:21" x14ac:dyDescent="0.3">
      <c r="P1278" s="1"/>
      <c r="U1278" s="1"/>
    </row>
    <row r="1279" spans="16:21" x14ac:dyDescent="0.3">
      <c r="P1279" s="1"/>
      <c r="U1279" s="1"/>
    </row>
    <row r="1280" spans="16:21" x14ac:dyDescent="0.3">
      <c r="P1280" s="1"/>
      <c r="U1280" s="1"/>
    </row>
    <row r="1281" spans="16:21" x14ac:dyDescent="0.3">
      <c r="P1281" s="1"/>
      <c r="U1281" s="1"/>
    </row>
    <row r="1282" spans="16:21" x14ac:dyDescent="0.3">
      <c r="P1282" s="1"/>
      <c r="U1282" s="1"/>
    </row>
    <row r="1283" spans="16:21" x14ac:dyDescent="0.3">
      <c r="P1283" s="1"/>
      <c r="U1283" s="1"/>
    </row>
    <row r="1284" spans="16:21" x14ac:dyDescent="0.3">
      <c r="P1284" s="1"/>
      <c r="U1284" s="1"/>
    </row>
    <row r="1285" spans="16:21" x14ac:dyDescent="0.3">
      <c r="P1285" s="1"/>
      <c r="U1285" s="1"/>
    </row>
    <row r="1286" spans="16:21" x14ac:dyDescent="0.3">
      <c r="P1286" s="1"/>
      <c r="U1286" s="1"/>
    </row>
    <row r="1287" spans="16:21" x14ac:dyDescent="0.3">
      <c r="P1287" s="1"/>
      <c r="U1287" s="1"/>
    </row>
    <row r="1288" spans="16:21" x14ac:dyDescent="0.3">
      <c r="P1288" s="1"/>
      <c r="U1288" s="1"/>
    </row>
    <row r="1289" spans="16:21" x14ac:dyDescent="0.3">
      <c r="P1289" s="1"/>
      <c r="U1289" s="1"/>
    </row>
    <row r="1290" spans="16:21" x14ac:dyDescent="0.3">
      <c r="P1290" s="1"/>
      <c r="U1290" s="1"/>
    </row>
    <row r="1291" spans="16:21" x14ac:dyDescent="0.3">
      <c r="P1291" s="1"/>
      <c r="U1291" s="1"/>
    </row>
    <row r="1292" spans="16:21" x14ac:dyDescent="0.3">
      <c r="P1292" s="1"/>
      <c r="U1292" s="1"/>
    </row>
    <row r="1293" spans="16:21" x14ac:dyDescent="0.3">
      <c r="P1293" s="1"/>
      <c r="U1293" s="1"/>
    </row>
    <row r="1294" spans="16:21" x14ac:dyDescent="0.3">
      <c r="P1294" s="1"/>
      <c r="U1294" s="1"/>
    </row>
    <row r="1295" spans="16:21" x14ac:dyDescent="0.3">
      <c r="P1295" s="1"/>
      <c r="U1295" s="1"/>
    </row>
    <row r="1296" spans="16:21" x14ac:dyDescent="0.3">
      <c r="P1296" s="1"/>
      <c r="U1296" s="1"/>
    </row>
    <row r="1297" spans="16:21" x14ac:dyDescent="0.3">
      <c r="P1297" s="1"/>
      <c r="U1297" s="1"/>
    </row>
    <row r="1298" spans="16:21" x14ac:dyDescent="0.3">
      <c r="P1298" s="1"/>
      <c r="U1298" s="1"/>
    </row>
    <row r="1299" spans="16:21" x14ac:dyDescent="0.3">
      <c r="P1299" s="1"/>
      <c r="U1299" s="1"/>
    </row>
    <row r="1300" spans="16:21" x14ac:dyDescent="0.3">
      <c r="P1300" s="1"/>
      <c r="U1300" s="1"/>
    </row>
    <row r="1301" spans="16:21" x14ac:dyDescent="0.3">
      <c r="P1301" s="1"/>
      <c r="U1301" s="1"/>
    </row>
    <row r="1302" spans="16:21" x14ac:dyDescent="0.3">
      <c r="P1302" s="1"/>
      <c r="U1302" s="1"/>
    </row>
    <row r="1303" spans="16:21" x14ac:dyDescent="0.3">
      <c r="P1303" s="1"/>
      <c r="U1303" s="1"/>
    </row>
    <row r="1304" spans="16:21" x14ac:dyDescent="0.3">
      <c r="P1304" s="1"/>
      <c r="U1304" s="1"/>
    </row>
    <row r="1305" spans="16:21" x14ac:dyDescent="0.3">
      <c r="P1305" s="1"/>
      <c r="U1305" s="1"/>
    </row>
    <row r="1306" spans="16:21" x14ac:dyDescent="0.3">
      <c r="P1306" s="1"/>
      <c r="U1306" s="1"/>
    </row>
    <row r="1307" spans="16:21" x14ac:dyDescent="0.3">
      <c r="P1307" s="1"/>
      <c r="U1307" s="1"/>
    </row>
    <row r="1308" spans="16:21" x14ac:dyDescent="0.3">
      <c r="P1308" s="1"/>
      <c r="U1308" s="1"/>
    </row>
    <row r="1309" spans="16:21" x14ac:dyDescent="0.3">
      <c r="P1309" s="1"/>
      <c r="U1309" s="1"/>
    </row>
    <row r="1310" spans="16:21" x14ac:dyDescent="0.3">
      <c r="P1310" s="1"/>
      <c r="U1310" s="1"/>
    </row>
    <row r="1311" spans="16:21" x14ac:dyDescent="0.3">
      <c r="P1311" s="1"/>
      <c r="U1311" s="1"/>
    </row>
    <row r="1312" spans="16:21" x14ac:dyDescent="0.3">
      <c r="P1312" s="1"/>
      <c r="U1312" s="1"/>
    </row>
    <row r="1313" spans="16:21" x14ac:dyDescent="0.3">
      <c r="P1313" s="1"/>
      <c r="U1313" s="1"/>
    </row>
    <row r="1314" spans="16:21" x14ac:dyDescent="0.3">
      <c r="P1314" s="1"/>
      <c r="U1314" s="1"/>
    </row>
    <row r="1315" spans="16:21" x14ac:dyDescent="0.3">
      <c r="P1315" s="1"/>
      <c r="U1315" s="1"/>
    </row>
    <row r="1316" spans="16:21" x14ac:dyDescent="0.3">
      <c r="P1316" s="1"/>
      <c r="U1316" s="1"/>
    </row>
    <row r="1317" spans="16:21" x14ac:dyDescent="0.3">
      <c r="P1317" s="1"/>
      <c r="U1317" s="1"/>
    </row>
    <row r="1318" spans="16:21" x14ac:dyDescent="0.3">
      <c r="P1318" s="1"/>
      <c r="U1318" s="1"/>
    </row>
    <row r="1319" spans="16:21" x14ac:dyDescent="0.3">
      <c r="P1319" s="1"/>
      <c r="U1319" s="1"/>
    </row>
    <row r="1320" spans="16:21" x14ac:dyDescent="0.3">
      <c r="P1320" s="1"/>
      <c r="U1320" s="1"/>
    </row>
    <row r="1321" spans="16:21" x14ac:dyDescent="0.3">
      <c r="P1321" s="1"/>
      <c r="U1321" s="1"/>
    </row>
    <row r="1322" spans="16:21" x14ac:dyDescent="0.3">
      <c r="P1322" s="1"/>
      <c r="U1322" s="1"/>
    </row>
    <row r="1323" spans="16:21" x14ac:dyDescent="0.3">
      <c r="P1323" s="1"/>
      <c r="U1323" s="1"/>
    </row>
    <row r="1324" spans="16:21" x14ac:dyDescent="0.3">
      <c r="P1324" s="1"/>
      <c r="U1324" s="1"/>
    </row>
    <row r="1325" spans="16:21" x14ac:dyDescent="0.3">
      <c r="P1325" s="1"/>
      <c r="U1325" s="1"/>
    </row>
    <row r="1326" spans="16:21" x14ac:dyDescent="0.3">
      <c r="P1326" s="1"/>
      <c r="U1326" s="1"/>
    </row>
    <row r="1327" spans="16:21" x14ac:dyDescent="0.3">
      <c r="P1327" s="1"/>
      <c r="U1327" s="1"/>
    </row>
    <row r="1328" spans="16:21" x14ac:dyDescent="0.3">
      <c r="P1328" s="1"/>
      <c r="U1328" s="1"/>
    </row>
    <row r="1329" spans="16:21" x14ac:dyDescent="0.3">
      <c r="P1329" s="1"/>
      <c r="U1329" s="1"/>
    </row>
    <row r="1330" spans="16:21" x14ac:dyDescent="0.3">
      <c r="P1330" s="1"/>
      <c r="U1330" s="1"/>
    </row>
    <row r="1331" spans="16:21" x14ac:dyDescent="0.3">
      <c r="P1331" s="1"/>
      <c r="U1331" s="1"/>
    </row>
    <row r="1332" spans="16:21" x14ac:dyDescent="0.3">
      <c r="P1332" s="1"/>
      <c r="U1332" s="1"/>
    </row>
    <row r="1333" spans="16:21" x14ac:dyDescent="0.3">
      <c r="P1333" s="1"/>
      <c r="U1333" s="1"/>
    </row>
    <row r="1334" spans="16:21" x14ac:dyDescent="0.3">
      <c r="P1334" s="1"/>
      <c r="U1334" s="1"/>
    </row>
    <row r="1335" spans="16:21" x14ac:dyDescent="0.3">
      <c r="P1335" s="1"/>
      <c r="U1335" s="1"/>
    </row>
    <row r="1336" spans="16:21" x14ac:dyDescent="0.3">
      <c r="P1336" s="1"/>
      <c r="U1336" s="1"/>
    </row>
    <row r="1337" spans="16:21" x14ac:dyDescent="0.3">
      <c r="P1337" s="1"/>
      <c r="U1337" s="1"/>
    </row>
    <row r="1338" spans="16:21" x14ac:dyDescent="0.3">
      <c r="P1338" s="1"/>
      <c r="U1338" s="1"/>
    </row>
    <row r="1339" spans="16:21" x14ac:dyDescent="0.3">
      <c r="P1339" s="1"/>
      <c r="U1339" s="1"/>
    </row>
    <row r="1340" spans="16:21" x14ac:dyDescent="0.3">
      <c r="P1340" s="1"/>
      <c r="U1340" s="1"/>
    </row>
    <row r="1341" spans="16:21" x14ac:dyDescent="0.3">
      <c r="P1341" s="1"/>
      <c r="U1341" s="1"/>
    </row>
    <row r="1342" spans="16:21" x14ac:dyDescent="0.3">
      <c r="P1342" s="1"/>
      <c r="U1342" s="1"/>
    </row>
    <row r="1343" spans="16:21" x14ac:dyDescent="0.3">
      <c r="P1343" s="1"/>
      <c r="U1343" s="1"/>
    </row>
    <row r="1344" spans="16:21" x14ac:dyDescent="0.3">
      <c r="P1344" s="1"/>
      <c r="U1344" s="1"/>
    </row>
    <row r="1345" spans="16:21" x14ac:dyDescent="0.3">
      <c r="P1345" s="1"/>
      <c r="U1345" s="1"/>
    </row>
    <row r="1346" spans="16:21" x14ac:dyDescent="0.3">
      <c r="P1346" s="1"/>
      <c r="U1346" s="1"/>
    </row>
    <row r="1347" spans="16:21" x14ac:dyDescent="0.3">
      <c r="P1347" s="1"/>
      <c r="U1347" s="1"/>
    </row>
    <row r="1348" spans="16:21" x14ac:dyDescent="0.3">
      <c r="P1348" s="1"/>
      <c r="U1348" s="1"/>
    </row>
    <row r="1349" spans="16:21" x14ac:dyDescent="0.3">
      <c r="P1349" s="1"/>
      <c r="U1349" s="1"/>
    </row>
    <row r="1350" spans="16:21" x14ac:dyDescent="0.3">
      <c r="P1350" s="1"/>
      <c r="U1350" s="1"/>
    </row>
    <row r="1351" spans="16:21" x14ac:dyDescent="0.3">
      <c r="P1351" s="1"/>
      <c r="U1351" s="1"/>
    </row>
    <row r="1352" spans="16:21" x14ac:dyDescent="0.3">
      <c r="P1352" s="1"/>
      <c r="U1352" s="1"/>
    </row>
    <row r="1353" spans="16:21" x14ac:dyDescent="0.3">
      <c r="P1353" s="1"/>
      <c r="U1353" s="1"/>
    </row>
    <row r="1354" spans="16:21" x14ac:dyDescent="0.3">
      <c r="P1354" s="1"/>
      <c r="U1354" s="1"/>
    </row>
    <row r="1355" spans="16:21" x14ac:dyDescent="0.3">
      <c r="P1355" s="1"/>
      <c r="U1355" s="1"/>
    </row>
    <row r="1356" spans="16:21" x14ac:dyDescent="0.3">
      <c r="P1356" s="1"/>
      <c r="U1356" s="1"/>
    </row>
    <row r="1357" spans="16:21" x14ac:dyDescent="0.3">
      <c r="P1357" s="1"/>
      <c r="U1357" s="1"/>
    </row>
    <row r="1358" spans="16:21" x14ac:dyDescent="0.3">
      <c r="P1358" s="1"/>
      <c r="U1358" s="1"/>
    </row>
    <row r="1359" spans="16:21" x14ac:dyDescent="0.3">
      <c r="P1359" s="1"/>
      <c r="U1359" s="1"/>
    </row>
    <row r="1360" spans="16:21" x14ac:dyDescent="0.3">
      <c r="P1360" s="1"/>
      <c r="U1360" s="1"/>
    </row>
    <row r="1361" spans="16:21" x14ac:dyDescent="0.3">
      <c r="P1361" s="1"/>
      <c r="U1361" s="1"/>
    </row>
    <row r="1362" spans="16:21" x14ac:dyDescent="0.3">
      <c r="P1362" s="1"/>
      <c r="U1362" s="1"/>
    </row>
    <row r="1363" spans="16:21" x14ac:dyDescent="0.3">
      <c r="P1363" s="1"/>
      <c r="U1363" s="1"/>
    </row>
    <row r="1364" spans="16:21" x14ac:dyDescent="0.3">
      <c r="P1364" s="1"/>
      <c r="U1364" s="1"/>
    </row>
    <row r="1365" spans="16:21" x14ac:dyDescent="0.3">
      <c r="P1365" s="1"/>
      <c r="U1365" s="1"/>
    </row>
    <row r="1366" spans="16:21" x14ac:dyDescent="0.3">
      <c r="P1366" s="1"/>
      <c r="U1366" s="1"/>
    </row>
    <row r="1367" spans="16:21" x14ac:dyDescent="0.3">
      <c r="P1367" s="1"/>
      <c r="U1367" s="1"/>
    </row>
    <row r="1368" spans="16:21" x14ac:dyDescent="0.3">
      <c r="P1368" s="1"/>
      <c r="U1368" s="1"/>
    </row>
    <row r="1369" spans="16:21" x14ac:dyDescent="0.3">
      <c r="P1369" s="1"/>
      <c r="U1369" s="1"/>
    </row>
    <row r="1370" spans="16:21" x14ac:dyDescent="0.3">
      <c r="P1370" s="1"/>
      <c r="U1370" s="1"/>
    </row>
    <row r="1371" spans="16:21" x14ac:dyDescent="0.3">
      <c r="P1371" s="1"/>
      <c r="U1371" s="1"/>
    </row>
    <row r="1372" spans="16:21" x14ac:dyDescent="0.3">
      <c r="P1372" s="1"/>
      <c r="U1372" s="1"/>
    </row>
    <row r="1373" spans="16:21" x14ac:dyDescent="0.3">
      <c r="P1373" s="1"/>
      <c r="U1373" s="1"/>
    </row>
    <row r="1374" spans="16:21" x14ac:dyDescent="0.3">
      <c r="P1374" s="1"/>
      <c r="U1374" s="1"/>
    </row>
    <row r="1375" spans="16:21" x14ac:dyDescent="0.3">
      <c r="P1375" s="1"/>
      <c r="U1375" s="1"/>
    </row>
    <row r="1376" spans="16:21" x14ac:dyDescent="0.3">
      <c r="P1376" s="1"/>
      <c r="U1376" s="1"/>
    </row>
    <row r="1377" spans="16:21" x14ac:dyDescent="0.3">
      <c r="P1377" s="1"/>
      <c r="U1377" s="1"/>
    </row>
    <row r="1378" spans="16:21" x14ac:dyDescent="0.3">
      <c r="P1378" s="1"/>
      <c r="U1378" s="1"/>
    </row>
    <row r="1379" spans="16:21" x14ac:dyDescent="0.3">
      <c r="P1379" s="1"/>
      <c r="U1379" s="1"/>
    </row>
    <row r="1380" spans="16:21" x14ac:dyDescent="0.3">
      <c r="P1380" s="1"/>
      <c r="U1380" s="1"/>
    </row>
    <row r="1381" spans="16:21" x14ac:dyDescent="0.3">
      <c r="P1381" s="1"/>
      <c r="U1381" s="1"/>
    </row>
    <row r="1382" spans="16:21" x14ac:dyDescent="0.3">
      <c r="P1382" s="1"/>
      <c r="U1382" s="1"/>
    </row>
    <row r="1383" spans="16:21" x14ac:dyDescent="0.3">
      <c r="P1383" s="1"/>
      <c r="U1383" s="1"/>
    </row>
    <row r="1384" spans="16:21" x14ac:dyDescent="0.3">
      <c r="P1384" s="1"/>
      <c r="U1384" s="1"/>
    </row>
    <row r="1385" spans="16:21" x14ac:dyDescent="0.3">
      <c r="P1385" s="1"/>
      <c r="U1385" s="1"/>
    </row>
    <row r="1386" spans="16:21" x14ac:dyDescent="0.3">
      <c r="P1386" s="1"/>
      <c r="U1386" s="1"/>
    </row>
    <row r="1387" spans="16:21" x14ac:dyDescent="0.3">
      <c r="P1387" s="1"/>
      <c r="U1387" s="1"/>
    </row>
    <row r="1388" spans="16:21" x14ac:dyDescent="0.3">
      <c r="P1388" s="1"/>
      <c r="U1388" s="1"/>
    </row>
    <row r="1389" spans="16:21" x14ac:dyDescent="0.3">
      <c r="P1389" s="1"/>
      <c r="U1389" s="1"/>
    </row>
    <row r="1390" spans="16:21" x14ac:dyDescent="0.3">
      <c r="P1390" s="1"/>
      <c r="U1390" s="1"/>
    </row>
    <row r="1391" spans="16:21" x14ac:dyDescent="0.3">
      <c r="P1391" s="1"/>
      <c r="U1391" s="1"/>
    </row>
    <row r="1392" spans="16:21" x14ac:dyDescent="0.3">
      <c r="P1392" s="1"/>
      <c r="U1392" s="1"/>
    </row>
    <row r="1393" spans="16:21" x14ac:dyDescent="0.3">
      <c r="P1393" s="1"/>
      <c r="U1393" s="1"/>
    </row>
    <row r="1394" spans="16:21" x14ac:dyDescent="0.3">
      <c r="P1394" s="1"/>
      <c r="U1394" s="1"/>
    </row>
    <row r="1395" spans="16:21" x14ac:dyDescent="0.3">
      <c r="P1395" s="1"/>
      <c r="U1395" s="1"/>
    </row>
    <row r="1396" spans="16:21" x14ac:dyDescent="0.3">
      <c r="P1396" s="1"/>
      <c r="U1396" s="1"/>
    </row>
    <row r="1397" spans="16:21" x14ac:dyDescent="0.3">
      <c r="P1397" s="1"/>
      <c r="U1397" s="1"/>
    </row>
    <row r="1398" spans="16:21" x14ac:dyDescent="0.3">
      <c r="P1398" s="1"/>
      <c r="U1398" s="1"/>
    </row>
    <row r="1399" spans="16:21" x14ac:dyDescent="0.3">
      <c r="P1399" s="1"/>
      <c r="U1399" s="1"/>
    </row>
    <row r="1400" spans="16:21" x14ac:dyDescent="0.3">
      <c r="P1400" s="1"/>
      <c r="U1400" s="1"/>
    </row>
    <row r="1401" spans="16:21" x14ac:dyDescent="0.3">
      <c r="P1401" s="1"/>
      <c r="U1401" s="1"/>
    </row>
    <row r="1402" spans="16:21" x14ac:dyDescent="0.3">
      <c r="P1402" s="1"/>
      <c r="U1402" s="1"/>
    </row>
    <row r="1403" spans="16:21" x14ac:dyDescent="0.3">
      <c r="P1403" s="1"/>
      <c r="U1403" s="1"/>
    </row>
    <row r="1404" spans="16:21" x14ac:dyDescent="0.3">
      <c r="P1404" s="1"/>
      <c r="U1404" s="1"/>
    </row>
    <row r="1405" spans="16:21" x14ac:dyDescent="0.3">
      <c r="P1405" s="1"/>
      <c r="U1405" s="1"/>
    </row>
    <row r="1406" spans="16:21" x14ac:dyDescent="0.3">
      <c r="P1406" s="1"/>
      <c r="U1406" s="1"/>
    </row>
    <row r="1407" spans="16:21" x14ac:dyDescent="0.3">
      <c r="P1407" s="1"/>
      <c r="U1407" s="1"/>
    </row>
    <row r="1408" spans="16:21" x14ac:dyDescent="0.3">
      <c r="P1408" s="1"/>
      <c r="U1408" s="1"/>
    </row>
    <row r="1409" spans="16:21" x14ac:dyDescent="0.3">
      <c r="P1409" s="1"/>
      <c r="U1409" s="1"/>
    </row>
    <row r="1410" spans="16:21" x14ac:dyDescent="0.3">
      <c r="P1410" s="1"/>
      <c r="U1410" s="1"/>
    </row>
    <row r="1411" spans="16:21" x14ac:dyDescent="0.3">
      <c r="P1411" s="1"/>
      <c r="U1411" s="1"/>
    </row>
    <row r="1412" spans="16:21" x14ac:dyDescent="0.3">
      <c r="P1412" s="1"/>
      <c r="U1412" s="1"/>
    </row>
    <row r="1413" spans="16:21" x14ac:dyDescent="0.3">
      <c r="P1413" s="1"/>
      <c r="U1413" s="1"/>
    </row>
    <row r="1414" spans="16:21" x14ac:dyDescent="0.3">
      <c r="P1414" s="1"/>
      <c r="U1414" s="1"/>
    </row>
    <row r="1415" spans="16:21" x14ac:dyDescent="0.3">
      <c r="P1415" s="1"/>
      <c r="U1415" s="1"/>
    </row>
    <row r="1416" spans="16:21" x14ac:dyDescent="0.3">
      <c r="P1416" s="1"/>
      <c r="U1416" s="1"/>
    </row>
    <row r="1417" spans="16:21" x14ac:dyDescent="0.3">
      <c r="P1417" s="1"/>
      <c r="U1417" s="1"/>
    </row>
    <row r="1418" spans="16:21" x14ac:dyDescent="0.3">
      <c r="P1418" s="1"/>
      <c r="U1418" s="1"/>
    </row>
    <row r="1419" spans="16:21" x14ac:dyDescent="0.3">
      <c r="P1419" s="1"/>
      <c r="U1419" s="1"/>
    </row>
    <row r="1420" spans="16:21" x14ac:dyDescent="0.3">
      <c r="P1420" s="1"/>
      <c r="U1420" s="1"/>
    </row>
    <row r="1421" spans="16:21" x14ac:dyDescent="0.3">
      <c r="P1421" s="1"/>
      <c r="U1421" s="1"/>
    </row>
    <row r="1422" spans="16:21" x14ac:dyDescent="0.3">
      <c r="P1422" s="1"/>
      <c r="U1422" s="1"/>
    </row>
    <row r="1423" spans="16:21" x14ac:dyDescent="0.3">
      <c r="P1423" s="1"/>
      <c r="U1423" s="1"/>
    </row>
    <row r="1424" spans="16:21" x14ac:dyDescent="0.3">
      <c r="P1424" s="1"/>
      <c r="U1424" s="1"/>
    </row>
    <row r="1425" spans="16:21" x14ac:dyDescent="0.3">
      <c r="P1425" s="1"/>
      <c r="U1425" s="1"/>
    </row>
    <row r="1426" spans="16:21" x14ac:dyDescent="0.3">
      <c r="P1426" s="1"/>
      <c r="U1426" s="1"/>
    </row>
    <row r="1427" spans="16:21" x14ac:dyDescent="0.3">
      <c r="P1427" s="1"/>
      <c r="U1427" s="1"/>
    </row>
    <row r="1428" spans="16:21" x14ac:dyDescent="0.3">
      <c r="P1428" s="1"/>
      <c r="U1428" s="1"/>
    </row>
    <row r="1429" spans="16:21" x14ac:dyDescent="0.3">
      <c r="P1429" s="1"/>
      <c r="U1429" s="1"/>
    </row>
    <row r="1430" spans="16:21" x14ac:dyDescent="0.3">
      <c r="P1430" s="1"/>
      <c r="U1430" s="1"/>
    </row>
    <row r="1431" spans="16:21" x14ac:dyDescent="0.3">
      <c r="P1431" s="1"/>
      <c r="U1431" s="1"/>
    </row>
    <row r="1432" spans="16:21" x14ac:dyDescent="0.3">
      <c r="P1432" s="1"/>
      <c r="U1432" s="1"/>
    </row>
    <row r="1433" spans="16:21" x14ac:dyDescent="0.3">
      <c r="P1433" s="1"/>
      <c r="U1433" s="1"/>
    </row>
    <row r="1434" spans="16:21" x14ac:dyDescent="0.3">
      <c r="P1434" s="1"/>
      <c r="U1434" s="1"/>
    </row>
    <row r="1435" spans="16:21" x14ac:dyDescent="0.3">
      <c r="P1435" s="1"/>
      <c r="U1435" s="1"/>
    </row>
    <row r="1436" spans="16:21" x14ac:dyDescent="0.3">
      <c r="P1436" s="1"/>
      <c r="U1436" s="1"/>
    </row>
    <row r="1437" spans="16:21" x14ac:dyDescent="0.3">
      <c r="P1437" s="1"/>
      <c r="U1437" s="1"/>
    </row>
    <row r="1438" spans="16:21" x14ac:dyDescent="0.3">
      <c r="P1438" s="1"/>
      <c r="U1438" s="1"/>
    </row>
    <row r="1439" spans="16:21" x14ac:dyDescent="0.3">
      <c r="P1439" s="1"/>
      <c r="U1439" s="1"/>
    </row>
    <row r="1440" spans="16:21" x14ac:dyDescent="0.3">
      <c r="P1440" s="1"/>
      <c r="U1440" s="1"/>
    </row>
    <row r="1441" spans="16:21" x14ac:dyDescent="0.3">
      <c r="P1441" s="1"/>
      <c r="U1441" s="1"/>
    </row>
    <row r="1442" spans="16:21" x14ac:dyDescent="0.3">
      <c r="P1442" s="1"/>
      <c r="U1442" s="1"/>
    </row>
    <row r="1443" spans="16:21" x14ac:dyDescent="0.3">
      <c r="P1443" s="1"/>
      <c r="U1443" s="1"/>
    </row>
    <row r="1444" spans="16:21" x14ac:dyDescent="0.3">
      <c r="P1444" s="1"/>
      <c r="U1444" s="1"/>
    </row>
    <row r="1445" spans="16:21" x14ac:dyDescent="0.3">
      <c r="P1445" s="1"/>
      <c r="U1445" s="1"/>
    </row>
    <row r="1446" spans="16:21" x14ac:dyDescent="0.3">
      <c r="P1446" s="1"/>
      <c r="U1446" s="1"/>
    </row>
    <row r="1447" spans="16:21" x14ac:dyDescent="0.3">
      <c r="P1447" s="1"/>
      <c r="U1447" s="1"/>
    </row>
    <row r="1448" spans="16:21" x14ac:dyDescent="0.3">
      <c r="P1448" s="1"/>
      <c r="U1448" s="1"/>
    </row>
    <row r="1449" spans="16:21" x14ac:dyDescent="0.3">
      <c r="P1449" s="1"/>
      <c r="U1449" s="1"/>
    </row>
    <row r="1450" spans="16:21" x14ac:dyDescent="0.3">
      <c r="P1450" s="1"/>
      <c r="U1450" s="1"/>
    </row>
    <row r="1451" spans="16:21" x14ac:dyDescent="0.3">
      <c r="P1451" s="1"/>
      <c r="U1451" s="1"/>
    </row>
    <row r="1452" spans="16:21" x14ac:dyDescent="0.3">
      <c r="P1452" s="1"/>
      <c r="U1452" s="1"/>
    </row>
    <row r="1453" spans="16:21" x14ac:dyDescent="0.3">
      <c r="P1453" s="1"/>
      <c r="U1453" s="1"/>
    </row>
    <row r="1454" spans="16:21" x14ac:dyDescent="0.3">
      <c r="P1454" s="1"/>
      <c r="U1454" s="1"/>
    </row>
    <row r="1455" spans="16:21" x14ac:dyDescent="0.3">
      <c r="P1455" s="1"/>
      <c r="U1455" s="1"/>
    </row>
    <row r="1456" spans="16:21" x14ac:dyDescent="0.3">
      <c r="P1456" s="1"/>
      <c r="U1456" s="1"/>
    </row>
    <row r="1457" spans="16:21" x14ac:dyDescent="0.3">
      <c r="P1457" s="1"/>
      <c r="U1457" s="1"/>
    </row>
    <row r="1458" spans="16:21" x14ac:dyDescent="0.3">
      <c r="P1458" s="1"/>
      <c r="U1458" s="1"/>
    </row>
    <row r="1459" spans="16:21" x14ac:dyDescent="0.3">
      <c r="P1459" s="1"/>
      <c r="U1459" s="1"/>
    </row>
    <row r="1460" spans="16:21" x14ac:dyDescent="0.3">
      <c r="P1460" s="1"/>
      <c r="U1460" s="1"/>
    </row>
    <row r="1461" spans="16:21" x14ac:dyDescent="0.3">
      <c r="P1461" s="1"/>
      <c r="U1461" s="1"/>
    </row>
    <row r="1462" spans="16:21" x14ac:dyDescent="0.3">
      <c r="P1462" s="1"/>
      <c r="U1462" s="1"/>
    </row>
    <row r="1463" spans="16:21" x14ac:dyDescent="0.3">
      <c r="P1463" s="1"/>
      <c r="U1463" s="1"/>
    </row>
    <row r="1464" spans="16:21" x14ac:dyDescent="0.3">
      <c r="P1464" s="1"/>
      <c r="U1464" s="1"/>
    </row>
    <row r="1465" spans="16:21" x14ac:dyDescent="0.3">
      <c r="P1465" s="1"/>
      <c r="U1465" s="1"/>
    </row>
    <row r="1466" spans="16:21" x14ac:dyDescent="0.3">
      <c r="P1466" s="1"/>
      <c r="U1466" s="1"/>
    </row>
    <row r="1467" spans="16:21" x14ac:dyDescent="0.3">
      <c r="P1467" s="1"/>
      <c r="U1467" s="1"/>
    </row>
    <row r="1468" spans="16:21" x14ac:dyDescent="0.3">
      <c r="P1468" s="1"/>
      <c r="U1468" s="1"/>
    </row>
    <row r="1469" spans="16:21" x14ac:dyDescent="0.3">
      <c r="P1469" s="1"/>
      <c r="U1469" s="1"/>
    </row>
    <row r="1470" spans="16:21" x14ac:dyDescent="0.3">
      <c r="P1470" s="1"/>
      <c r="U1470" s="1"/>
    </row>
    <row r="1471" spans="16:21" x14ac:dyDescent="0.3">
      <c r="P1471" s="1"/>
      <c r="U1471" s="1"/>
    </row>
    <row r="1472" spans="16:21" x14ac:dyDescent="0.3">
      <c r="P1472" s="1"/>
      <c r="U1472" s="1"/>
    </row>
    <row r="1473" spans="16:21" x14ac:dyDescent="0.3">
      <c r="P1473" s="1"/>
      <c r="U1473" s="1"/>
    </row>
    <row r="1474" spans="16:21" x14ac:dyDescent="0.3">
      <c r="P1474" s="1"/>
      <c r="U1474" s="1"/>
    </row>
    <row r="1475" spans="16:21" x14ac:dyDescent="0.3">
      <c r="P1475" s="1"/>
      <c r="U1475" s="1"/>
    </row>
    <row r="1476" spans="16:21" x14ac:dyDescent="0.3">
      <c r="P1476" s="1"/>
      <c r="U1476" s="1"/>
    </row>
    <row r="1477" spans="16:21" x14ac:dyDescent="0.3">
      <c r="P1477" s="1"/>
      <c r="U1477" s="1"/>
    </row>
    <row r="1478" spans="16:21" x14ac:dyDescent="0.3">
      <c r="P1478" s="1"/>
      <c r="U1478" s="1"/>
    </row>
    <row r="1479" spans="16:21" x14ac:dyDescent="0.3">
      <c r="P1479" s="1"/>
      <c r="U1479" s="1"/>
    </row>
    <row r="1480" spans="16:21" x14ac:dyDescent="0.3">
      <c r="P1480" s="1"/>
      <c r="U1480" s="1"/>
    </row>
    <row r="1481" spans="16:21" x14ac:dyDescent="0.3">
      <c r="P1481" s="1"/>
      <c r="U1481" s="1"/>
    </row>
    <row r="1482" spans="16:21" x14ac:dyDescent="0.3">
      <c r="P1482" s="1"/>
      <c r="U1482" s="1"/>
    </row>
    <row r="1483" spans="16:21" x14ac:dyDescent="0.3">
      <c r="P1483" s="1"/>
      <c r="U1483" s="1"/>
    </row>
    <row r="1484" spans="16:21" x14ac:dyDescent="0.3">
      <c r="P1484" s="1"/>
      <c r="U1484" s="1"/>
    </row>
    <row r="1485" spans="16:21" x14ac:dyDescent="0.3">
      <c r="P1485" s="1"/>
      <c r="U1485" s="1"/>
    </row>
    <row r="1486" spans="16:21" x14ac:dyDescent="0.3">
      <c r="P1486" s="1"/>
      <c r="U1486" s="1"/>
    </row>
    <row r="1487" spans="16:21" x14ac:dyDescent="0.3">
      <c r="P1487" s="1"/>
      <c r="U1487" s="1"/>
    </row>
    <row r="1488" spans="16:21" x14ac:dyDescent="0.3">
      <c r="P1488" s="1"/>
      <c r="U1488" s="1"/>
    </row>
    <row r="1489" spans="16:21" x14ac:dyDescent="0.3">
      <c r="P1489" s="1"/>
      <c r="U1489" s="1"/>
    </row>
    <row r="1490" spans="16:21" x14ac:dyDescent="0.3">
      <c r="P1490" s="1"/>
      <c r="U1490" s="1"/>
    </row>
    <row r="1491" spans="16:21" x14ac:dyDescent="0.3">
      <c r="P1491" s="1"/>
      <c r="U1491" s="1"/>
    </row>
    <row r="1492" spans="16:21" x14ac:dyDescent="0.3">
      <c r="P1492" s="1"/>
      <c r="U1492" s="1"/>
    </row>
    <row r="1493" spans="16:21" x14ac:dyDescent="0.3">
      <c r="P1493" s="1"/>
      <c r="U1493" s="1"/>
    </row>
    <row r="1494" spans="16:21" x14ac:dyDescent="0.3">
      <c r="P1494" s="1"/>
      <c r="U1494" s="1"/>
    </row>
    <row r="1495" spans="16:21" x14ac:dyDescent="0.3">
      <c r="P1495" s="1"/>
      <c r="U1495" s="1"/>
    </row>
    <row r="1496" spans="16:21" x14ac:dyDescent="0.3">
      <c r="P1496" s="1"/>
      <c r="U1496" s="1"/>
    </row>
    <row r="1497" spans="16:21" x14ac:dyDescent="0.3">
      <c r="P1497" s="1"/>
      <c r="U1497" s="1"/>
    </row>
    <row r="1498" spans="16:21" x14ac:dyDescent="0.3">
      <c r="P1498" s="1"/>
      <c r="U1498" s="1"/>
    </row>
    <row r="1499" spans="16:21" x14ac:dyDescent="0.3">
      <c r="P1499" s="1"/>
      <c r="U1499" s="1"/>
    </row>
    <row r="1500" spans="16:21" x14ac:dyDescent="0.3">
      <c r="P1500" s="1"/>
      <c r="U1500" s="1"/>
    </row>
    <row r="1501" spans="16:21" x14ac:dyDescent="0.3">
      <c r="P1501" s="1"/>
      <c r="U1501" s="1"/>
    </row>
    <row r="1502" spans="16:21" x14ac:dyDescent="0.3">
      <c r="P1502" s="1"/>
      <c r="U1502" s="1"/>
    </row>
    <row r="1503" spans="16:21" x14ac:dyDescent="0.3">
      <c r="P1503" s="1"/>
      <c r="U1503" s="1"/>
    </row>
    <row r="1504" spans="16:21" x14ac:dyDescent="0.3">
      <c r="P1504" s="1"/>
      <c r="U1504" s="1"/>
    </row>
    <row r="1505" spans="16:21" x14ac:dyDescent="0.3">
      <c r="P1505" s="1"/>
      <c r="U1505" s="1"/>
    </row>
    <row r="1506" spans="16:21" x14ac:dyDescent="0.3">
      <c r="P1506" s="1"/>
      <c r="U1506" s="1"/>
    </row>
    <row r="1507" spans="16:21" x14ac:dyDescent="0.3">
      <c r="P1507" s="1"/>
      <c r="U1507" s="1"/>
    </row>
    <row r="1508" spans="16:21" x14ac:dyDescent="0.3">
      <c r="P1508" s="1"/>
      <c r="U1508" s="1"/>
    </row>
    <row r="1509" spans="16:21" x14ac:dyDescent="0.3">
      <c r="P1509" s="1"/>
      <c r="U1509" s="1"/>
    </row>
    <row r="1510" spans="16:21" x14ac:dyDescent="0.3">
      <c r="P1510" s="1"/>
      <c r="U1510" s="1"/>
    </row>
    <row r="1511" spans="16:21" x14ac:dyDescent="0.3">
      <c r="P1511" s="1"/>
      <c r="U1511" s="1"/>
    </row>
    <row r="1512" spans="16:21" x14ac:dyDescent="0.3">
      <c r="P1512" s="1"/>
      <c r="U1512" s="1"/>
    </row>
    <row r="1513" spans="16:21" x14ac:dyDescent="0.3">
      <c r="P1513" s="1"/>
      <c r="U1513" s="1"/>
    </row>
    <row r="1514" spans="16:21" x14ac:dyDescent="0.3">
      <c r="P1514" s="1"/>
      <c r="U1514" s="1"/>
    </row>
    <row r="1515" spans="16:21" x14ac:dyDescent="0.3">
      <c r="P1515" s="1"/>
      <c r="U1515" s="1"/>
    </row>
    <row r="1516" spans="16:21" x14ac:dyDescent="0.3">
      <c r="P1516" s="1"/>
      <c r="U1516" s="1"/>
    </row>
    <row r="1517" spans="16:21" x14ac:dyDescent="0.3">
      <c r="P1517" s="1"/>
      <c r="U1517" s="1"/>
    </row>
    <row r="1518" spans="16:21" x14ac:dyDescent="0.3">
      <c r="P1518" s="1"/>
      <c r="U1518" s="1"/>
    </row>
    <row r="1519" spans="16:21" x14ac:dyDescent="0.3">
      <c r="P1519" s="1"/>
      <c r="U1519" s="1"/>
    </row>
    <row r="1520" spans="16:21" x14ac:dyDescent="0.3">
      <c r="P1520" s="1"/>
      <c r="U1520" s="1"/>
    </row>
    <row r="1521" spans="16:21" x14ac:dyDescent="0.3">
      <c r="P1521" s="1"/>
      <c r="U1521" s="1"/>
    </row>
    <row r="1522" spans="16:21" x14ac:dyDescent="0.3">
      <c r="P1522" s="1"/>
      <c r="U1522" s="1"/>
    </row>
    <row r="1523" spans="16:21" x14ac:dyDescent="0.3">
      <c r="P1523" s="1"/>
      <c r="U1523" s="1"/>
    </row>
    <row r="1524" spans="16:21" x14ac:dyDescent="0.3">
      <c r="P1524" s="1"/>
      <c r="U1524" s="1"/>
    </row>
    <row r="1525" spans="16:21" x14ac:dyDescent="0.3">
      <c r="P1525" s="1"/>
      <c r="U1525" s="1"/>
    </row>
    <row r="1526" spans="16:21" x14ac:dyDescent="0.3">
      <c r="P1526" s="1"/>
      <c r="U1526" s="1"/>
    </row>
    <row r="1527" spans="16:21" x14ac:dyDescent="0.3">
      <c r="P1527" s="1"/>
      <c r="U1527" s="1"/>
    </row>
    <row r="1528" spans="16:21" x14ac:dyDescent="0.3">
      <c r="P1528" s="1"/>
      <c r="U1528" s="1"/>
    </row>
    <row r="1529" spans="16:21" x14ac:dyDescent="0.3">
      <c r="P1529" s="1"/>
      <c r="U1529" s="1"/>
    </row>
    <row r="1530" spans="16:21" x14ac:dyDescent="0.3">
      <c r="P1530" s="1"/>
      <c r="U1530" s="1"/>
    </row>
    <row r="1531" spans="16:21" x14ac:dyDescent="0.3">
      <c r="P1531" s="1"/>
      <c r="U1531" s="1"/>
    </row>
    <row r="1532" spans="16:21" x14ac:dyDescent="0.3">
      <c r="P1532" s="1"/>
      <c r="U1532" s="1"/>
    </row>
    <row r="1533" spans="16:21" x14ac:dyDescent="0.3">
      <c r="P1533" s="1"/>
      <c r="U1533" s="1"/>
    </row>
    <row r="1534" spans="16:21" x14ac:dyDescent="0.3">
      <c r="P1534" s="1"/>
      <c r="U1534" s="1"/>
    </row>
    <row r="1535" spans="16:21" x14ac:dyDescent="0.3">
      <c r="P1535" s="1"/>
      <c r="U1535" s="1"/>
    </row>
    <row r="1536" spans="16:21" x14ac:dyDescent="0.3">
      <c r="P1536" s="1"/>
      <c r="U1536" s="1"/>
    </row>
    <row r="1537" spans="16:21" x14ac:dyDescent="0.3">
      <c r="P1537" s="1"/>
      <c r="U1537" s="1"/>
    </row>
    <row r="1538" spans="16:21" x14ac:dyDescent="0.3">
      <c r="P1538" s="1"/>
      <c r="U1538" s="1"/>
    </row>
    <row r="1539" spans="16:21" x14ac:dyDescent="0.3">
      <c r="P1539" s="1"/>
      <c r="U1539" s="1"/>
    </row>
    <row r="1540" spans="16:21" x14ac:dyDescent="0.3">
      <c r="P1540" s="1"/>
      <c r="U1540" s="1"/>
    </row>
    <row r="1541" spans="16:21" x14ac:dyDescent="0.3">
      <c r="P1541" s="1"/>
      <c r="U1541" s="1"/>
    </row>
    <row r="1542" spans="16:21" x14ac:dyDescent="0.3">
      <c r="P1542" s="1"/>
      <c r="U1542" s="1"/>
    </row>
    <row r="1543" spans="16:21" x14ac:dyDescent="0.3">
      <c r="P1543" s="1"/>
      <c r="U1543" s="1"/>
    </row>
    <row r="1544" spans="16:21" x14ac:dyDescent="0.3">
      <c r="P1544" s="1"/>
      <c r="U1544" s="1"/>
    </row>
    <row r="1545" spans="16:21" x14ac:dyDescent="0.3">
      <c r="P1545" s="1"/>
      <c r="U1545" s="1"/>
    </row>
    <row r="1546" spans="16:21" x14ac:dyDescent="0.3">
      <c r="P1546" s="1"/>
      <c r="U1546" s="1"/>
    </row>
    <row r="1547" spans="16:21" x14ac:dyDescent="0.3">
      <c r="P1547" s="1"/>
      <c r="U1547" s="1"/>
    </row>
    <row r="1548" spans="16:21" x14ac:dyDescent="0.3">
      <c r="P1548" s="1"/>
      <c r="U1548" s="1"/>
    </row>
    <row r="1549" spans="16:21" x14ac:dyDescent="0.3">
      <c r="P1549" s="1"/>
      <c r="U1549" s="1"/>
    </row>
    <row r="1550" spans="16:21" x14ac:dyDescent="0.3">
      <c r="P1550" s="1"/>
      <c r="U1550" s="1"/>
    </row>
    <row r="1551" spans="16:21" x14ac:dyDescent="0.3">
      <c r="P1551" s="1"/>
      <c r="U1551" s="1"/>
    </row>
    <row r="1552" spans="16:21" x14ac:dyDescent="0.3">
      <c r="P1552" s="1"/>
      <c r="U1552" s="1"/>
    </row>
    <row r="1553" spans="16:21" x14ac:dyDescent="0.3">
      <c r="P1553" s="1"/>
      <c r="U1553" s="1"/>
    </row>
    <row r="1554" spans="16:21" x14ac:dyDescent="0.3">
      <c r="P1554" s="1"/>
      <c r="U1554" s="1"/>
    </row>
    <row r="1555" spans="16:21" x14ac:dyDescent="0.3">
      <c r="P1555" s="1"/>
      <c r="U1555" s="1"/>
    </row>
    <row r="1556" spans="16:21" x14ac:dyDescent="0.3">
      <c r="P1556" s="1"/>
      <c r="U1556" s="1"/>
    </row>
    <row r="1557" spans="16:21" x14ac:dyDescent="0.3">
      <c r="P1557" s="1"/>
      <c r="U1557" s="1"/>
    </row>
    <row r="1558" spans="16:21" x14ac:dyDescent="0.3">
      <c r="P1558" s="1"/>
      <c r="U1558" s="1"/>
    </row>
    <row r="1559" spans="16:21" x14ac:dyDescent="0.3">
      <c r="P1559" s="1"/>
      <c r="U1559" s="1"/>
    </row>
    <row r="1560" spans="16:21" x14ac:dyDescent="0.3">
      <c r="P1560" s="1"/>
      <c r="U1560" s="1"/>
    </row>
    <row r="1561" spans="16:21" x14ac:dyDescent="0.3">
      <c r="P1561" s="1"/>
      <c r="U1561" s="1"/>
    </row>
    <row r="1562" spans="16:21" x14ac:dyDescent="0.3">
      <c r="P1562" s="1"/>
      <c r="U1562" s="1"/>
    </row>
    <row r="1563" spans="16:21" x14ac:dyDescent="0.3">
      <c r="P1563" s="1"/>
      <c r="U1563" s="1"/>
    </row>
    <row r="1564" spans="16:21" x14ac:dyDescent="0.3">
      <c r="P1564" s="1"/>
      <c r="U1564" s="1"/>
    </row>
    <row r="1565" spans="16:21" x14ac:dyDescent="0.3">
      <c r="P1565" s="1"/>
      <c r="U1565" s="1"/>
    </row>
    <row r="1566" spans="16:21" x14ac:dyDescent="0.3">
      <c r="P1566" s="1"/>
      <c r="U1566" s="1"/>
    </row>
    <row r="1567" spans="16:21" x14ac:dyDescent="0.3">
      <c r="P1567" s="1"/>
      <c r="U1567" s="1"/>
    </row>
    <row r="1568" spans="16:21" x14ac:dyDescent="0.3">
      <c r="P1568" s="1"/>
      <c r="U1568" s="1"/>
    </row>
    <row r="1569" spans="16:21" x14ac:dyDescent="0.3">
      <c r="P1569" s="1"/>
      <c r="U1569" s="1"/>
    </row>
    <row r="1570" spans="16:21" x14ac:dyDescent="0.3">
      <c r="P1570" s="1"/>
      <c r="U1570" s="1"/>
    </row>
    <row r="1571" spans="16:21" x14ac:dyDescent="0.3">
      <c r="P1571" s="1"/>
      <c r="U1571" s="1"/>
    </row>
    <row r="1572" spans="16:21" x14ac:dyDescent="0.3">
      <c r="P1572" s="1"/>
      <c r="U1572" s="1"/>
    </row>
    <row r="1573" spans="16:21" x14ac:dyDescent="0.3">
      <c r="P1573" s="1"/>
      <c r="U1573" s="1"/>
    </row>
    <row r="1574" spans="16:21" x14ac:dyDescent="0.3">
      <c r="P1574" s="1"/>
      <c r="U1574" s="1"/>
    </row>
    <row r="1575" spans="16:21" x14ac:dyDescent="0.3">
      <c r="P1575" s="1"/>
      <c r="U1575" s="1"/>
    </row>
    <row r="1576" spans="16:21" x14ac:dyDescent="0.3">
      <c r="P1576" s="1"/>
      <c r="U1576" s="1"/>
    </row>
    <row r="1577" spans="16:21" x14ac:dyDescent="0.3">
      <c r="P1577" s="1"/>
      <c r="U1577" s="1"/>
    </row>
    <row r="1578" spans="16:21" x14ac:dyDescent="0.3">
      <c r="P1578" s="1"/>
      <c r="U1578" s="1"/>
    </row>
    <row r="1579" spans="16:21" x14ac:dyDescent="0.3">
      <c r="P1579" s="1"/>
      <c r="U1579" s="1"/>
    </row>
    <row r="1580" spans="16:21" x14ac:dyDescent="0.3">
      <c r="P1580" s="1"/>
      <c r="U1580" s="1"/>
    </row>
    <row r="1581" spans="16:21" x14ac:dyDescent="0.3">
      <c r="P1581" s="1"/>
      <c r="U1581" s="1"/>
    </row>
    <row r="1582" spans="16:21" x14ac:dyDescent="0.3">
      <c r="P1582" s="1"/>
      <c r="U1582" s="1"/>
    </row>
    <row r="1583" spans="16:21" x14ac:dyDescent="0.3">
      <c r="P1583" s="1"/>
      <c r="U1583" s="1"/>
    </row>
    <row r="1584" spans="16:21" x14ac:dyDescent="0.3">
      <c r="P1584" s="1"/>
      <c r="U1584" s="1"/>
    </row>
    <row r="1585" spans="16:21" x14ac:dyDescent="0.3">
      <c r="P1585" s="1"/>
      <c r="U1585" s="1"/>
    </row>
    <row r="1586" spans="16:21" x14ac:dyDescent="0.3">
      <c r="P1586" s="1"/>
      <c r="U1586" s="1"/>
    </row>
    <row r="1587" spans="16:21" x14ac:dyDescent="0.3">
      <c r="P1587" s="1"/>
      <c r="U1587" s="1"/>
    </row>
    <row r="1588" spans="16:21" x14ac:dyDescent="0.3">
      <c r="P1588" s="1"/>
      <c r="U1588" s="1"/>
    </row>
    <row r="1589" spans="16:21" x14ac:dyDescent="0.3">
      <c r="P1589" s="1"/>
      <c r="U1589" s="1"/>
    </row>
    <row r="1590" spans="16:21" x14ac:dyDescent="0.3">
      <c r="P1590" s="1"/>
      <c r="U1590" s="1"/>
    </row>
    <row r="1591" spans="16:21" x14ac:dyDescent="0.3">
      <c r="P1591" s="1"/>
      <c r="U1591" s="1"/>
    </row>
    <row r="1592" spans="16:21" x14ac:dyDescent="0.3">
      <c r="P1592" s="1"/>
      <c r="U1592" s="1"/>
    </row>
    <row r="1593" spans="16:21" x14ac:dyDescent="0.3">
      <c r="P1593" s="1"/>
      <c r="U1593" s="1"/>
    </row>
    <row r="1594" spans="16:21" x14ac:dyDescent="0.3">
      <c r="P1594" s="1"/>
      <c r="U1594" s="1"/>
    </row>
    <row r="1595" spans="16:21" x14ac:dyDescent="0.3">
      <c r="P1595" s="1"/>
      <c r="U1595" s="1"/>
    </row>
    <row r="1596" spans="16:21" x14ac:dyDescent="0.3">
      <c r="P1596" s="1"/>
      <c r="U1596" s="1"/>
    </row>
    <row r="1597" spans="16:21" x14ac:dyDescent="0.3">
      <c r="P1597" s="1"/>
      <c r="U1597" s="1"/>
    </row>
    <row r="1598" spans="16:21" x14ac:dyDescent="0.3">
      <c r="P1598" s="1"/>
      <c r="U1598" s="1"/>
    </row>
    <row r="1599" spans="16:21" x14ac:dyDescent="0.3">
      <c r="P1599" s="1"/>
      <c r="U1599" s="1"/>
    </row>
    <row r="1600" spans="16:21" x14ac:dyDescent="0.3">
      <c r="P1600" s="1"/>
      <c r="U1600" s="1"/>
    </row>
    <row r="1601" spans="16:21" x14ac:dyDescent="0.3">
      <c r="P1601" s="1"/>
      <c r="U1601" s="1"/>
    </row>
    <row r="1602" spans="16:21" x14ac:dyDescent="0.3">
      <c r="P1602" s="1"/>
      <c r="U1602" s="1"/>
    </row>
    <row r="1603" spans="16:21" x14ac:dyDescent="0.3">
      <c r="P1603" s="1"/>
      <c r="U1603" s="1"/>
    </row>
    <row r="1604" spans="16:21" x14ac:dyDescent="0.3">
      <c r="P1604" s="1"/>
      <c r="U1604" s="1"/>
    </row>
    <row r="1605" spans="16:21" x14ac:dyDescent="0.3">
      <c r="P1605" s="1"/>
      <c r="U1605" s="1"/>
    </row>
    <row r="1606" spans="16:21" x14ac:dyDescent="0.3">
      <c r="P1606" s="1"/>
      <c r="U1606" s="1"/>
    </row>
    <row r="1607" spans="16:21" x14ac:dyDescent="0.3">
      <c r="P1607" s="1"/>
      <c r="U1607" s="1"/>
    </row>
    <row r="1608" spans="16:21" x14ac:dyDescent="0.3">
      <c r="P1608" s="1"/>
      <c r="U1608" s="1"/>
    </row>
    <row r="1609" spans="16:21" x14ac:dyDescent="0.3">
      <c r="P1609" s="1"/>
      <c r="U1609" s="1"/>
    </row>
    <row r="1610" spans="16:21" x14ac:dyDescent="0.3">
      <c r="P1610" s="1"/>
      <c r="U1610" s="1"/>
    </row>
    <row r="1611" spans="16:21" x14ac:dyDescent="0.3">
      <c r="P1611" s="1"/>
      <c r="U1611" s="1"/>
    </row>
    <row r="1612" spans="16:21" x14ac:dyDescent="0.3">
      <c r="P1612" s="1"/>
      <c r="U1612" s="1"/>
    </row>
    <row r="1613" spans="16:21" x14ac:dyDescent="0.3">
      <c r="P1613" s="1"/>
      <c r="U1613" s="1"/>
    </row>
    <row r="1614" spans="16:21" x14ac:dyDescent="0.3">
      <c r="P1614" s="1"/>
      <c r="U1614" s="1"/>
    </row>
    <row r="1615" spans="16:21" x14ac:dyDescent="0.3">
      <c r="P1615" s="1"/>
      <c r="U1615" s="1"/>
    </row>
    <row r="1616" spans="16:21" x14ac:dyDescent="0.3">
      <c r="P1616" s="1"/>
      <c r="U1616" s="1"/>
    </row>
    <row r="1617" spans="16:21" x14ac:dyDescent="0.3">
      <c r="P1617" s="1"/>
      <c r="U1617" s="1"/>
    </row>
    <row r="1618" spans="16:21" x14ac:dyDescent="0.3">
      <c r="P1618" s="1"/>
      <c r="U1618" s="1"/>
    </row>
    <row r="1619" spans="16:21" x14ac:dyDescent="0.3">
      <c r="P1619" s="1"/>
      <c r="U1619" s="1"/>
    </row>
    <row r="1620" spans="16:21" x14ac:dyDescent="0.3">
      <c r="P1620" s="1"/>
      <c r="U1620" s="1"/>
    </row>
    <row r="1621" spans="16:21" x14ac:dyDescent="0.3">
      <c r="P1621" s="1"/>
      <c r="U1621" s="1"/>
    </row>
    <row r="1622" spans="16:21" x14ac:dyDescent="0.3">
      <c r="P1622" s="1"/>
      <c r="U1622" s="1"/>
    </row>
    <row r="1623" spans="16:21" x14ac:dyDescent="0.3">
      <c r="P1623" s="1"/>
      <c r="U1623" s="1"/>
    </row>
    <row r="1624" spans="16:21" x14ac:dyDescent="0.3">
      <c r="P1624" s="1"/>
      <c r="U1624" s="1"/>
    </row>
    <row r="1625" spans="16:21" x14ac:dyDescent="0.3">
      <c r="P1625" s="1"/>
      <c r="U1625" s="1"/>
    </row>
    <row r="1626" spans="16:21" x14ac:dyDescent="0.3">
      <c r="P1626" s="1"/>
      <c r="U1626" s="1"/>
    </row>
    <row r="1627" spans="16:21" x14ac:dyDescent="0.3">
      <c r="P1627" s="1"/>
      <c r="U1627" s="1"/>
    </row>
    <row r="1628" spans="16:21" x14ac:dyDescent="0.3">
      <c r="P1628" s="1"/>
      <c r="U1628" s="1"/>
    </row>
    <row r="1629" spans="16:21" x14ac:dyDescent="0.3">
      <c r="P1629" s="1"/>
      <c r="U1629" s="1"/>
    </row>
    <row r="1630" spans="16:21" x14ac:dyDescent="0.3">
      <c r="P1630" s="1"/>
      <c r="U1630" s="1"/>
    </row>
    <row r="1631" spans="16:21" x14ac:dyDescent="0.3">
      <c r="P1631" s="1"/>
      <c r="U1631" s="1"/>
    </row>
    <row r="1632" spans="16:21" x14ac:dyDescent="0.3">
      <c r="P1632" s="1"/>
      <c r="U1632" s="1"/>
    </row>
    <row r="1633" spans="16:21" x14ac:dyDescent="0.3">
      <c r="P1633" s="1"/>
      <c r="U1633" s="1"/>
    </row>
    <row r="1634" spans="16:21" x14ac:dyDescent="0.3">
      <c r="P1634" s="1"/>
      <c r="U1634" s="1"/>
    </row>
    <row r="1635" spans="16:21" x14ac:dyDescent="0.3">
      <c r="P1635" s="1"/>
      <c r="U1635" s="1"/>
    </row>
    <row r="1636" spans="16:21" x14ac:dyDescent="0.3">
      <c r="P1636" s="1"/>
      <c r="U1636" s="1"/>
    </row>
    <row r="1637" spans="16:21" x14ac:dyDescent="0.3">
      <c r="P1637" s="1"/>
      <c r="U1637" s="1"/>
    </row>
    <row r="1638" spans="16:21" x14ac:dyDescent="0.3">
      <c r="P1638" s="1"/>
      <c r="U1638" s="1"/>
    </row>
    <row r="1639" spans="16:21" x14ac:dyDescent="0.3">
      <c r="P1639" s="1"/>
      <c r="U1639" s="1"/>
    </row>
    <row r="1640" spans="16:21" x14ac:dyDescent="0.3">
      <c r="P1640" s="1"/>
      <c r="U1640" s="1"/>
    </row>
    <row r="1641" spans="16:21" x14ac:dyDescent="0.3">
      <c r="P1641" s="1"/>
      <c r="U1641" s="1"/>
    </row>
    <row r="1642" spans="16:21" x14ac:dyDescent="0.3">
      <c r="P1642" s="1"/>
      <c r="U1642" s="1"/>
    </row>
    <row r="1643" spans="16:21" x14ac:dyDescent="0.3">
      <c r="P1643" s="1"/>
      <c r="U1643" s="1"/>
    </row>
    <row r="1644" spans="16:21" x14ac:dyDescent="0.3">
      <c r="P1644" s="1"/>
      <c r="U1644" s="1"/>
    </row>
    <row r="1645" spans="16:21" x14ac:dyDescent="0.3">
      <c r="P1645" s="1"/>
      <c r="U1645" s="1"/>
    </row>
    <row r="1646" spans="16:21" x14ac:dyDescent="0.3">
      <c r="P1646" s="1"/>
      <c r="U1646" s="1"/>
    </row>
    <row r="1647" spans="16:21" x14ac:dyDescent="0.3">
      <c r="P1647" s="1"/>
      <c r="U1647" s="1"/>
    </row>
    <row r="1648" spans="16:21" x14ac:dyDescent="0.3">
      <c r="P1648" s="1"/>
      <c r="U1648" s="1"/>
    </row>
    <row r="1649" spans="16:21" x14ac:dyDescent="0.3">
      <c r="P1649" s="1"/>
      <c r="U1649" s="1"/>
    </row>
    <row r="1650" spans="16:21" x14ac:dyDescent="0.3">
      <c r="P1650" s="1"/>
      <c r="U1650" s="1"/>
    </row>
    <row r="1651" spans="16:21" x14ac:dyDescent="0.3">
      <c r="P1651" s="1"/>
      <c r="U1651" s="1"/>
    </row>
    <row r="1652" spans="16:21" x14ac:dyDescent="0.3">
      <c r="P1652" s="1"/>
      <c r="U1652" s="1"/>
    </row>
    <row r="1653" spans="16:21" x14ac:dyDescent="0.3">
      <c r="P1653" s="1"/>
      <c r="U1653" s="1"/>
    </row>
    <row r="1654" spans="16:21" x14ac:dyDescent="0.3">
      <c r="P1654" s="1"/>
      <c r="U1654" s="1"/>
    </row>
    <row r="1655" spans="16:21" x14ac:dyDescent="0.3">
      <c r="P1655" s="1"/>
      <c r="U1655" s="1"/>
    </row>
    <row r="1656" spans="16:21" x14ac:dyDescent="0.3">
      <c r="P1656" s="1"/>
      <c r="U1656" s="1"/>
    </row>
    <row r="1657" spans="16:21" x14ac:dyDescent="0.3">
      <c r="P1657" s="1"/>
      <c r="U1657" s="1"/>
    </row>
    <row r="1658" spans="16:21" x14ac:dyDescent="0.3">
      <c r="P1658" s="1"/>
      <c r="U1658" s="1"/>
    </row>
    <row r="1659" spans="16:21" x14ac:dyDescent="0.3">
      <c r="P1659" s="1"/>
      <c r="U1659" s="1"/>
    </row>
    <row r="1660" spans="16:21" x14ac:dyDescent="0.3">
      <c r="P1660" s="1"/>
      <c r="U1660" s="1"/>
    </row>
    <row r="1661" spans="16:21" x14ac:dyDescent="0.3">
      <c r="P1661" s="1"/>
      <c r="U1661" s="1"/>
    </row>
    <row r="1662" spans="16:21" x14ac:dyDescent="0.3">
      <c r="P1662" s="1"/>
      <c r="U1662" s="1"/>
    </row>
    <row r="1663" spans="16:21" x14ac:dyDescent="0.3">
      <c r="P1663" s="1"/>
      <c r="U1663" s="1"/>
    </row>
    <row r="1664" spans="16:21" x14ac:dyDescent="0.3">
      <c r="P1664" s="1"/>
      <c r="U1664" s="1"/>
    </row>
    <row r="1665" spans="16:21" x14ac:dyDescent="0.3">
      <c r="P1665" s="1"/>
      <c r="U1665" s="1"/>
    </row>
    <row r="1666" spans="16:21" x14ac:dyDescent="0.3">
      <c r="P1666" s="1"/>
      <c r="U1666" s="1"/>
    </row>
    <row r="1667" spans="16:21" x14ac:dyDescent="0.3">
      <c r="P1667" s="1"/>
      <c r="U1667" s="1"/>
    </row>
    <row r="1668" spans="16:21" x14ac:dyDescent="0.3">
      <c r="P1668" s="1"/>
      <c r="U1668" s="1"/>
    </row>
    <row r="1669" spans="16:21" x14ac:dyDescent="0.3">
      <c r="P1669" s="1"/>
      <c r="U1669" s="1"/>
    </row>
    <row r="1670" spans="16:21" x14ac:dyDescent="0.3">
      <c r="P1670" s="1"/>
      <c r="U1670" s="1"/>
    </row>
    <row r="1671" spans="16:21" x14ac:dyDescent="0.3">
      <c r="P1671" s="1"/>
      <c r="U1671" s="1"/>
    </row>
    <row r="1672" spans="16:21" x14ac:dyDescent="0.3">
      <c r="P1672" s="1"/>
      <c r="U1672" s="1"/>
    </row>
    <row r="1673" spans="16:21" x14ac:dyDescent="0.3">
      <c r="P1673" s="1"/>
      <c r="U1673" s="1"/>
    </row>
    <row r="1674" spans="16:21" x14ac:dyDescent="0.3">
      <c r="P1674" s="1"/>
      <c r="U1674" s="1"/>
    </row>
    <row r="1675" spans="16:21" x14ac:dyDescent="0.3">
      <c r="P1675" s="1"/>
      <c r="U1675" s="1"/>
    </row>
    <row r="1676" spans="16:21" x14ac:dyDescent="0.3">
      <c r="P1676" s="1"/>
      <c r="U1676" s="1"/>
    </row>
    <row r="1677" spans="16:21" x14ac:dyDescent="0.3">
      <c r="P1677" s="1"/>
      <c r="U1677" s="1"/>
    </row>
    <row r="1678" spans="16:21" x14ac:dyDescent="0.3">
      <c r="P1678" s="1"/>
      <c r="U1678" s="1"/>
    </row>
    <row r="1679" spans="16:21" x14ac:dyDescent="0.3">
      <c r="P1679" s="1"/>
      <c r="U1679" s="1"/>
    </row>
    <row r="1680" spans="16:21" x14ac:dyDescent="0.3">
      <c r="P1680" s="1"/>
      <c r="U1680" s="1"/>
    </row>
    <row r="1681" spans="16:21" x14ac:dyDescent="0.3">
      <c r="P1681" s="1"/>
      <c r="U1681" s="1"/>
    </row>
    <row r="1682" spans="16:21" x14ac:dyDescent="0.3">
      <c r="P1682" s="1"/>
      <c r="U1682" s="1"/>
    </row>
    <row r="1683" spans="16:21" x14ac:dyDescent="0.3">
      <c r="P1683" s="1"/>
      <c r="U1683" s="1"/>
    </row>
    <row r="1684" spans="16:21" x14ac:dyDescent="0.3">
      <c r="P1684" s="1"/>
      <c r="U1684" s="1"/>
    </row>
    <row r="1685" spans="16:21" x14ac:dyDescent="0.3">
      <c r="P1685" s="1"/>
      <c r="U1685" s="1"/>
    </row>
    <row r="1686" spans="16:21" x14ac:dyDescent="0.3">
      <c r="P1686" s="1"/>
      <c r="U1686" s="1"/>
    </row>
    <row r="1687" spans="16:21" x14ac:dyDescent="0.3">
      <c r="P1687" s="1"/>
      <c r="U1687" s="1"/>
    </row>
    <row r="1688" spans="16:21" x14ac:dyDescent="0.3">
      <c r="P1688" s="1"/>
      <c r="U1688" s="1"/>
    </row>
    <row r="1689" spans="16:21" x14ac:dyDescent="0.3">
      <c r="P1689" s="1"/>
      <c r="U1689" s="1"/>
    </row>
    <row r="1690" spans="16:21" x14ac:dyDescent="0.3">
      <c r="P1690" s="1"/>
      <c r="U1690" s="1"/>
    </row>
    <row r="1691" spans="16:21" x14ac:dyDescent="0.3">
      <c r="P1691" s="1"/>
      <c r="U1691" s="1"/>
    </row>
    <row r="1692" spans="16:21" x14ac:dyDescent="0.3">
      <c r="P1692" s="1"/>
      <c r="U1692" s="1"/>
    </row>
    <row r="1693" spans="16:21" x14ac:dyDescent="0.3">
      <c r="P1693" s="1"/>
      <c r="U1693" s="1"/>
    </row>
    <row r="1694" spans="16:21" x14ac:dyDescent="0.3">
      <c r="P1694" s="1"/>
      <c r="U1694" s="1"/>
    </row>
    <row r="1695" spans="16:21" x14ac:dyDescent="0.3">
      <c r="P1695" s="1"/>
      <c r="U1695" s="1"/>
    </row>
    <row r="1696" spans="16:21" x14ac:dyDescent="0.3">
      <c r="P1696" s="1"/>
      <c r="U1696" s="1"/>
    </row>
    <row r="1697" spans="16:21" x14ac:dyDescent="0.3">
      <c r="P1697" s="1"/>
      <c r="U1697" s="1"/>
    </row>
    <row r="1698" spans="16:21" x14ac:dyDescent="0.3">
      <c r="P1698" s="1"/>
      <c r="U1698" s="1"/>
    </row>
    <row r="1699" spans="16:21" x14ac:dyDescent="0.3">
      <c r="P1699" s="1"/>
      <c r="U1699" s="1"/>
    </row>
    <row r="1700" spans="16:21" x14ac:dyDescent="0.3">
      <c r="P1700" s="1"/>
      <c r="U1700" s="1"/>
    </row>
    <row r="1701" spans="16:21" x14ac:dyDescent="0.3">
      <c r="P1701" s="1"/>
      <c r="U1701" s="1"/>
    </row>
    <row r="1702" spans="16:21" x14ac:dyDescent="0.3">
      <c r="P1702" s="1"/>
      <c r="U1702" s="1"/>
    </row>
    <row r="1703" spans="16:21" x14ac:dyDescent="0.3">
      <c r="P1703" s="1"/>
      <c r="U1703" s="1"/>
    </row>
    <row r="1704" spans="16:21" x14ac:dyDescent="0.3">
      <c r="P1704" s="1"/>
      <c r="U1704" s="1"/>
    </row>
    <row r="1705" spans="16:21" x14ac:dyDescent="0.3">
      <c r="P1705" s="1"/>
      <c r="U1705" s="1"/>
    </row>
    <row r="1706" spans="16:21" x14ac:dyDescent="0.3">
      <c r="P1706" s="1"/>
      <c r="U1706" s="1"/>
    </row>
    <row r="1707" spans="16:21" x14ac:dyDescent="0.3">
      <c r="P1707" s="1"/>
      <c r="U1707" s="1"/>
    </row>
    <row r="1708" spans="16:21" x14ac:dyDescent="0.3">
      <c r="P1708" s="1"/>
      <c r="U1708" s="1"/>
    </row>
    <row r="1709" spans="16:21" x14ac:dyDescent="0.3">
      <c r="P1709" s="1"/>
      <c r="U1709" s="1"/>
    </row>
    <row r="1710" spans="16:21" x14ac:dyDescent="0.3">
      <c r="P1710" s="1"/>
      <c r="U1710" s="1"/>
    </row>
    <row r="1711" spans="16:21" x14ac:dyDescent="0.3">
      <c r="P1711" s="1"/>
      <c r="U1711" s="1"/>
    </row>
    <row r="1712" spans="16:21" x14ac:dyDescent="0.3">
      <c r="P1712" s="1"/>
      <c r="U1712" s="1"/>
    </row>
    <row r="1713" spans="16:21" x14ac:dyDescent="0.3">
      <c r="P1713" s="1"/>
      <c r="U1713" s="1"/>
    </row>
    <row r="1714" spans="16:21" x14ac:dyDescent="0.3">
      <c r="P1714" s="1"/>
      <c r="U1714" s="1"/>
    </row>
    <row r="1715" spans="16:21" x14ac:dyDescent="0.3">
      <c r="P1715" s="1"/>
      <c r="U1715" s="1"/>
    </row>
    <row r="1716" spans="16:21" x14ac:dyDescent="0.3">
      <c r="P1716" s="1"/>
      <c r="U1716" s="1"/>
    </row>
    <row r="1717" spans="16:21" x14ac:dyDescent="0.3">
      <c r="P1717" s="1"/>
      <c r="U1717" s="1"/>
    </row>
    <row r="1718" spans="16:21" x14ac:dyDescent="0.3">
      <c r="P1718" s="1"/>
      <c r="U1718" s="1"/>
    </row>
    <row r="1719" spans="16:21" x14ac:dyDescent="0.3">
      <c r="P1719" s="1"/>
      <c r="U1719" s="1"/>
    </row>
    <row r="1720" spans="16:21" x14ac:dyDescent="0.3">
      <c r="P1720" s="1"/>
      <c r="U1720" s="1"/>
    </row>
    <row r="1721" spans="16:21" x14ac:dyDescent="0.3">
      <c r="P1721" s="1"/>
      <c r="U1721" s="1"/>
    </row>
    <row r="1722" spans="16:21" x14ac:dyDescent="0.3">
      <c r="P1722" s="1"/>
      <c r="U1722" s="1"/>
    </row>
    <row r="1723" spans="16:21" x14ac:dyDescent="0.3">
      <c r="P1723" s="1"/>
      <c r="U1723" s="1"/>
    </row>
    <row r="1724" spans="16:21" x14ac:dyDescent="0.3">
      <c r="P1724" s="1"/>
      <c r="U1724" s="1"/>
    </row>
    <row r="1725" spans="16:21" x14ac:dyDescent="0.3">
      <c r="P1725" s="1"/>
      <c r="U1725" s="1"/>
    </row>
    <row r="1726" spans="16:21" x14ac:dyDescent="0.3">
      <c r="P1726" s="1"/>
      <c r="U1726" s="1"/>
    </row>
    <row r="1727" spans="16:21" x14ac:dyDescent="0.3">
      <c r="P1727" s="1"/>
      <c r="U1727" s="1"/>
    </row>
    <row r="1728" spans="16:21" x14ac:dyDescent="0.3">
      <c r="P1728" s="1"/>
      <c r="U1728" s="1"/>
    </row>
    <row r="1729" spans="16:21" x14ac:dyDescent="0.3">
      <c r="P1729" s="1"/>
      <c r="U1729" s="1"/>
    </row>
    <row r="1730" spans="16:21" x14ac:dyDescent="0.3">
      <c r="P1730" s="1"/>
      <c r="U1730" s="1"/>
    </row>
    <row r="1731" spans="16:21" x14ac:dyDescent="0.3">
      <c r="P1731" s="1"/>
      <c r="U1731" s="1"/>
    </row>
    <row r="1732" spans="16:21" x14ac:dyDescent="0.3">
      <c r="P1732" s="1"/>
      <c r="U1732" s="1"/>
    </row>
    <row r="1733" spans="16:21" x14ac:dyDescent="0.3">
      <c r="P1733" s="1"/>
      <c r="U1733" s="1"/>
    </row>
    <row r="1734" spans="16:21" x14ac:dyDescent="0.3">
      <c r="P1734" s="1"/>
      <c r="U1734" s="1"/>
    </row>
    <row r="1735" spans="16:21" x14ac:dyDescent="0.3">
      <c r="P1735" s="1"/>
      <c r="U1735" s="1"/>
    </row>
    <row r="1736" spans="16:21" x14ac:dyDescent="0.3">
      <c r="P1736" s="1"/>
      <c r="U1736" s="1"/>
    </row>
    <row r="1737" spans="16:21" x14ac:dyDescent="0.3">
      <c r="P1737" s="1"/>
      <c r="U1737" s="1"/>
    </row>
    <row r="1738" spans="16:21" x14ac:dyDescent="0.3">
      <c r="P1738" s="1"/>
      <c r="U1738" s="1"/>
    </row>
    <row r="1739" spans="16:21" x14ac:dyDescent="0.3">
      <c r="P1739" s="1"/>
      <c r="U1739" s="1"/>
    </row>
    <row r="1740" spans="16:21" x14ac:dyDescent="0.3">
      <c r="P1740" s="1"/>
      <c r="U1740" s="1"/>
    </row>
    <row r="1741" spans="16:21" x14ac:dyDescent="0.3">
      <c r="P1741" s="1"/>
      <c r="U1741" s="1"/>
    </row>
    <row r="1742" spans="16:21" x14ac:dyDescent="0.3">
      <c r="P1742" s="1"/>
      <c r="U1742" s="1"/>
    </row>
    <row r="1743" spans="16:21" x14ac:dyDescent="0.3">
      <c r="P1743" s="1"/>
      <c r="U1743" s="1"/>
    </row>
    <row r="1744" spans="16:21" x14ac:dyDescent="0.3">
      <c r="P1744" s="1"/>
      <c r="U1744" s="1"/>
    </row>
    <row r="1745" spans="16:21" x14ac:dyDescent="0.3">
      <c r="P1745" s="1"/>
      <c r="U1745" s="1"/>
    </row>
    <row r="1746" spans="16:21" x14ac:dyDescent="0.3">
      <c r="P1746" s="1"/>
      <c r="U1746" s="1"/>
    </row>
    <row r="1747" spans="16:21" x14ac:dyDescent="0.3">
      <c r="P1747" s="1"/>
      <c r="U1747" s="1"/>
    </row>
    <row r="1748" spans="16:21" x14ac:dyDescent="0.3">
      <c r="P1748" s="1"/>
      <c r="U1748" s="1"/>
    </row>
    <row r="1749" spans="16:21" x14ac:dyDescent="0.3">
      <c r="P1749" s="1"/>
      <c r="U1749" s="1"/>
    </row>
    <row r="1750" spans="16:21" x14ac:dyDescent="0.3">
      <c r="P1750" s="1"/>
      <c r="U1750" s="1"/>
    </row>
    <row r="1751" spans="16:21" x14ac:dyDescent="0.3">
      <c r="P1751" s="1"/>
      <c r="U1751" s="1"/>
    </row>
    <row r="1752" spans="16:21" x14ac:dyDescent="0.3">
      <c r="P1752" s="1"/>
      <c r="U1752" s="1"/>
    </row>
    <row r="1753" spans="16:21" x14ac:dyDescent="0.3">
      <c r="P1753" s="1"/>
      <c r="U1753" s="1"/>
    </row>
    <row r="1754" spans="16:21" x14ac:dyDescent="0.3">
      <c r="P1754" s="1"/>
      <c r="U1754" s="1"/>
    </row>
    <row r="1755" spans="16:21" x14ac:dyDescent="0.3">
      <c r="P1755" s="1"/>
      <c r="U1755" s="1"/>
    </row>
    <row r="1756" spans="16:21" x14ac:dyDescent="0.3">
      <c r="P1756" s="1"/>
      <c r="U1756" s="1"/>
    </row>
    <row r="1757" spans="16:21" x14ac:dyDescent="0.3">
      <c r="P1757" s="1"/>
      <c r="U1757" s="1"/>
    </row>
    <row r="1758" spans="16:21" x14ac:dyDescent="0.3">
      <c r="P1758" s="1"/>
      <c r="U1758" s="1"/>
    </row>
    <row r="1759" spans="16:21" x14ac:dyDescent="0.3">
      <c r="P1759" s="1"/>
      <c r="U1759" s="1"/>
    </row>
    <row r="1760" spans="16:21" x14ac:dyDescent="0.3">
      <c r="P1760" s="1"/>
      <c r="U1760" s="1"/>
    </row>
    <row r="1761" spans="16:21" x14ac:dyDescent="0.3">
      <c r="P1761" s="1"/>
      <c r="U1761" s="1"/>
    </row>
    <row r="1762" spans="16:21" x14ac:dyDescent="0.3">
      <c r="P1762" s="1"/>
      <c r="U1762" s="1"/>
    </row>
    <row r="1763" spans="16:21" x14ac:dyDescent="0.3">
      <c r="P1763" s="1"/>
      <c r="U1763" s="1"/>
    </row>
    <row r="1764" spans="16:21" x14ac:dyDescent="0.3">
      <c r="P1764" s="1"/>
      <c r="U1764" s="1"/>
    </row>
    <row r="1765" spans="16:21" x14ac:dyDescent="0.3">
      <c r="P1765" s="1"/>
      <c r="U1765" s="1"/>
    </row>
    <row r="1766" spans="16:21" x14ac:dyDescent="0.3">
      <c r="P1766" s="1"/>
      <c r="U1766" s="1"/>
    </row>
    <row r="1767" spans="16:21" x14ac:dyDescent="0.3">
      <c r="P1767" s="1"/>
      <c r="U1767" s="1"/>
    </row>
    <row r="1768" spans="16:21" x14ac:dyDescent="0.3">
      <c r="P1768" s="1"/>
      <c r="U1768" s="1"/>
    </row>
    <row r="1769" spans="16:21" x14ac:dyDescent="0.3">
      <c r="P1769" s="1"/>
      <c r="U1769" s="1"/>
    </row>
    <row r="1770" spans="16:21" x14ac:dyDescent="0.3">
      <c r="P1770" s="1"/>
      <c r="U1770" s="1"/>
    </row>
    <row r="1771" spans="16:21" x14ac:dyDescent="0.3">
      <c r="P1771" s="1"/>
      <c r="U1771" s="1"/>
    </row>
    <row r="1772" spans="16:21" x14ac:dyDescent="0.3">
      <c r="P1772" s="1"/>
      <c r="U1772" s="1"/>
    </row>
    <row r="1773" spans="16:21" x14ac:dyDescent="0.3">
      <c r="P1773" s="1"/>
      <c r="U1773" s="1"/>
    </row>
    <row r="1774" spans="16:21" x14ac:dyDescent="0.3">
      <c r="P1774" s="1"/>
      <c r="U1774" s="1"/>
    </row>
    <row r="1775" spans="16:21" x14ac:dyDescent="0.3">
      <c r="P1775" s="1"/>
      <c r="U1775" s="1"/>
    </row>
    <row r="1776" spans="16:21" x14ac:dyDescent="0.3">
      <c r="P1776" s="1"/>
      <c r="U1776" s="1"/>
    </row>
    <row r="1777" spans="16:21" x14ac:dyDescent="0.3">
      <c r="P1777" s="1"/>
      <c r="U1777" s="1"/>
    </row>
    <row r="1778" spans="16:21" x14ac:dyDescent="0.3">
      <c r="P1778" s="1"/>
      <c r="U1778" s="1"/>
    </row>
    <row r="1779" spans="16:21" x14ac:dyDescent="0.3">
      <c r="P1779" s="1"/>
      <c r="U1779" s="1"/>
    </row>
    <row r="1780" spans="16:21" x14ac:dyDescent="0.3">
      <c r="P1780" s="1"/>
      <c r="U1780" s="1"/>
    </row>
    <row r="1781" spans="16:21" x14ac:dyDescent="0.3">
      <c r="P1781" s="1"/>
      <c r="U1781" s="1"/>
    </row>
    <row r="1782" spans="16:21" x14ac:dyDescent="0.3">
      <c r="P1782" s="1"/>
      <c r="U1782" s="1"/>
    </row>
    <row r="1783" spans="16:21" x14ac:dyDescent="0.3">
      <c r="P1783" s="1"/>
      <c r="U1783" s="1"/>
    </row>
    <row r="1784" spans="16:21" x14ac:dyDescent="0.3">
      <c r="P1784" s="1"/>
      <c r="U1784" s="1"/>
    </row>
    <row r="1785" spans="16:21" x14ac:dyDescent="0.3">
      <c r="P1785" s="1"/>
      <c r="U1785" s="1"/>
    </row>
    <row r="1786" spans="16:21" x14ac:dyDescent="0.3">
      <c r="P1786" s="1"/>
      <c r="U1786" s="1"/>
    </row>
    <row r="1787" spans="16:21" x14ac:dyDescent="0.3">
      <c r="P1787" s="1"/>
      <c r="U1787" s="1"/>
    </row>
    <row r="1788" spans="16:21" x14ac:dyDescent="0.3">
      <c r="P1788" s="1"/>
      <c r="U1788" s="1"/>
    </row>
    <row r="1789" spans="16:21" x14ac:dyDescent="0.3">
      <c r="P1789" s="1"/>
      <c r="U1789" s="1"/>
    </row>
    <row r="1790" spans="16:21" x14ac:dyDescent="0.3">
      <c r="P1790" s="1"/>
      <c r="U1790" s="1"/>
    </row>
    <row r="1791" spans="16:21" x14ac:dyDescent="0.3">
      <c r="P1791" s="1"/>
      <c r="U1791" s="1"/>
    </row>
    <row r="1792" spans="16:21" x14ac:dyDescent="0.3">
      <c r="P1792" s="1"/>
      <c r="U1792" s="1"/>
    </row>
    <row r="1793" spans="15:21" x14ac:dyDescent="0.3">
      <c r="P1793" s="1"/>
      <c r="U1793" s="1"/>
    </row>
    <row r="1794" spans="15:21" x14ac:dyDescent="0.3">
      <c r="P1794" s="1"/>
      <c r="U1794" s="1"/>
    </row>
    <row r="1795" spans="15:21" x14ac:dyDescent="0.3">
      <c r="P1795" s="1"/>
      <c r="U1795" s="1"/>
    </row>
    <row r="1796" spans="15:21" x14ac:dyDescent="0.3">
      <c r="P1796" s="1"/>
      <c r="U1796" s="1"/>
    </row>
    <row r="1797" spans="15:21" x14ac:dyDescent="0.3">
      <c r="P1797" s="1"/>
      <c r="U1797" s="1"/>
    </row>
    <row r="1798" spans="15:21" x14ac:dyDescent="0.3">
      <c r="P1798" s="1"/>
      <c r="U1798" s="1"/>
    </row>
    <row r="1799" spans="15:21" x14ac:dyDescent="0.3">
      <c r="P1799" s="1"/>
      <c r="U1799" s="1"/>
    </row>
    <row r="1800" spans="15:21" x14ac:dyDescent="0.3">
      <c r="O1800" s="3"/>
      <c r="P1800" s="1"/>
      <c r="U1800" s="1"/>
    </row>
    <row r="1801" spans="15:21" x14ac:dyDescent="0.3">
      <c r="O1801" s="3"/>
      <c r="P1801" s="1"/>
      <c r="U1801" s="1"/>
    </row>
    <row r="1802" spans="15:21" x14ac:dyDescent="0.3">
      <c r="O1802" s="3"/>
      <c r="P1802" s="1"/>
      <c r="U1802" s="1"/>
    </row>
    <row r="1803" spans="15:21" x14ac:dyDescent="0.3">
      <c r="O1803" s="3"/>
      <c r="P1803" s="1"/>
      <c r="U1803" s="1"/>
    </row>
    <row r="1804" spans="15:21" x14ac:dyDescent="0.3">
      <c r="O1804" s="3"/>
      <c r="P1804" s="1"/>
      <c r="U1804" s="1"/>
    </row>
    <row r="1805" spans="15:21" x14ac:dyDescent="0.3">
      <c r="O1805" s="3"/>
      <c r="P1805" s="1"/>
      <c r="U1805" s="1"/>
    </row>
    <row r="1806" spans="15:21" x14ac:dyDescent="0.3">
      <c r="O1806" s="3"/>
      <c r="P1806" s="1"/>
      <c r="U1806" s="1"/>
    </row>
    <row r="1807" spans="15:21" x14ac:dyDescent="0.3">
      <c r="O1807" s="3"/>
      <c r="P1807" s="1"/>
      <c r="U1807" s="1"/>
    </row>
    <row r="1808" spans="15:21" x14ac:dyDescent="0.3">
      <c r="O1808" s="3"/>
      <c r="P1808" s="1"/>
      <c r="U1808" s="1"/>
    </row>
    <row r="1809" spans="15:21" x14ac:dyDescent="0.3">
      <c r="O1809" s="3"/>
      <c r="P1809" s="1"/>
      <c r="U1809" s="1"/>
    </row>
    <row r="1810" spans="15:21" x14ac:dyDescent="0.3">
      <c r="O1810" s="3"/>
      <c r="P1810" s="1"/>
      <c r="U1810" s="1"/>
    </row>
    <row r="1811" spans="15:21" x14ac:dyDescent="0.3">
      <c r="O1811" s="3"/>
      <c r="P1811" s="1"/>
      <c r="U1811" s="1"/>
    </row>
    <row r="1812" spans="15:21" x14ac:dyDescent="0.3">
      <c r="O1812" s="3"/>
      <c r="P1812" s="1"/>
      <c r="U1812" s="1"/>
    </row>
    <row r="1813" spans="15:21" x14ac:dyDescent="0.3">
      <c r="O1813" s="3"/>
      <c r="P1813" s="1"/>
      <c r="U1813" s="1"/>
    </row>
    <row r="1814" spans="15:21" x14ac:dyDescent="0.3">
      <c r="O1814" s="3"/>
      <c r="P1814" s="1"/>
      <c r="U1814" s="1"/>
    </row>
    <row r="1815" spans="15:21" x14ac:dyDescent="0.3">
      <c r="O1815" s="3"/>
      <c r="P1815" s="1"/>
      <c r="U1815" s="1"/>
    </row>
    <row r="1816" spans="15:21" x14ac:dyDescent="0.3">
      <c r="O1816" s="3"/>
      <c r="P1816" s="1"/>
      <c r="U1816" s="1"/>
    </row>
    <row r="1817" spans="15:21" x14ac:dyDescent="0.3">
      <c r="O1817" s="3"/>
      <c r="P1817" s="1"/>
      <c r="U1817" s="1"/>
    </row>
    <row r="1818" spans="15:21" x14ac:dyDescent="0.3">
      <c r="O1818" s="3"/>
      <c r="P1818" s="1"/>
      <c r="U1818" s="1"/>
    </row>
    <row r="1819" spans="15:21" x14ac:dyDescent="0.3">
      <c r="O1819" s="3"/>
      <c r="P1819" s="1"/>
      <c r="U1819" s="1"/>
    </row>
    <row r="1820" spans="15:21" x14ac:dyDescent="0.3">
      <c r="O1820" s="3"/>
      <c r="P1820" s="1"/>
      <c r="U1820" s="1"/>
    </row>
    <row r="1821" spans="15:21" x14ac:dyDescent="0.3">
      <c r="O1821" s="3"/>
      <c r="P1821" s="1"/>
      <c r="U1821" s="1"/>
    </row>
    <row r="1822" spans="15:21" x14ac:dyDescent="0.3">
      <c r="O1822" s="3"/>
      <c r="P1822" s="1"/>
      <c r="U1822" s="1"/>
    </row>
    <row r="1823" spans="15:21" x14ac:dyDescent="0.3">
      <c r="O1823" s="3"/>
      <c r="P1823" s="1"/>
      <c r="U1823" s="1"/>
    </row>
    <row r="1824" spans="15:21" x14ac:dyDescent="0.3">
      <c r="O1824" s="3"/>
      <c r="P1824" s="1"/>
      <c r="U1824" s="1"/>
    </row>
    <row r="1825" spans="15:21" x14ac:dyDescent="0.3">
      <c r="O1825" s="3"/>
      <c r="P1825" s="1"/>
      <c r="U1825" s="1"/>
    </row>
    <row r="1826" spans="15:21" x14ac:dyDescent="0.3">
      <c r="O1826" s="3"/>
      <c r="P1826" s="1"/>
      <c r="U1826" s="1"/>
    </row>
    <row r="1827" spans="15:21" x14ac:dyDescent="0.3">
      <c r="O1827" s="3"/>
      <c r="P1827" s="1"/>
      <c r="U1827" s="1"/>
    </row>
    <row r="1828" spans="15:21" x14ac:dyDescent="0.3">
      <c r="O1828" s="3"/>
      <c r="P1828" s="1"/>
      <c r="U1828" s="1"/>
    </row>
    <row r="1829" spans="15:21" x14ac:dyDescent="0.3">
      <c r="O1829" s="3"/>
      <c r="P1829" s="1"/>
      <c r="U1829" s="1"/>
    </row>
    <row r="1830" spans="15:21" x14ac:dyDescent="0.3">
      <c r="O1830" s="3"/>
      <c r="P1830" s="1"/>
      <c r="U1830" s="1"/>
    </row>
    <row r="1831" spans="15:21" x14ac:dyDescent="0.3">
      <c r="O1831" s="3"/>
      <c r="P1831" s="1"/>
      <c r="U1831" s="1"/>
    </row>
    <row r="1832" spans="15:21" x14ac:dyDescent="0.3">
      <c r="O1832" s="3"/>
      <c r="P1832" s="1"/>
      <c r="U1832" s="1"/>
    </row>
    <row r="1833" spans="15:21" x14ac:dyDescent="0.3">
      <c r="O1833" s="3"/>
      <c r="P1833" s="1"/>
      <c r="U1833" s="1"/>
    </row>
    <row r="1834" spans="15:21" x14ac:dyDescent="0.3">
      <c r="O1834" s="3"/>
      <c r="P1834" s="1"/>
      <c r="U1834" s="1"/>
    </row>
    <row r="1835" spans="15:21" x14ac:dyDescent="0.3">
      <c r="O1835" s="3"/>
      <c r="P1835" s="1"/>
      <c r="U1835" s="1"/>
    </row>
    <row r="1836" spans="15:21" x14ac:dyDescent="0.3">
      <c r="O1836" s="3"/>
      <c r="P1836" s="1"/>
      <c r="U1836" s="1"/>
    </row>
    <row r="1837" spans="15:21" x14ac:dyDescent="0.3">
      <c r="O1837" s="3"/>
      <c r="P1837" s="1"/>
      <c r="U1837" s="1"/>
    </row>
    <row r="1838" spans="15:21" x14ac:dyDescent="0.3">
      <c r="O1838" s="3"/>
      <c r="P1838" s="1"/>
      <c r="U1838" s="1"/>
    </row>
    <row r="1839" spans="15:21" x14ac:dyDescent="0.3">
      <c r="O1839" s="3"/>
      <c r="P1839" s="1"/>
      <c r="U1839" s="1"/>
    </row>
    <row r="1840" spans="15:21" x14ac:dyDescent="0.3">
      <c r="O1840" s="3"/>
      <c r="P1840" s="1"/>
      <c r="U1840" s="1"/>
    </row>
    <row r="1841" spans="15:21" x14ac:dyDescent="0.3">
      <c r="O1841" s="3"/>
      <c r="P1841" s="1"/>
      <c r="U1841" s="1"/>
    </row>
    <row r="1842" spans="15:21" x14ac:dyDescent="0.3">
      <c r="O1842" s="3"/>
      <c r="P1842" s="1"/>
      <c r="U1842" s="1"/>
    </row>
    <row r="1843" spans="15:21" x14ac:dyDescent="0.3">
      <c r="O1843" s="3"/>
      <c r="P1843" s="1"/>
      <c r="U1843" s="1"/>
    </row>
    <row r="1844" spans="15:21" x14ac:dyDescent="0.3">
      <c r="O1844" s="3"/>
      <c r="P1844" s="1"/>
      <c r="U1844" s="1"/>
    </row>
    <row r="1845" spans="15:21" x14ac:dyDescent="0.3">
      <c r="O1845" s="3"/>
      <c r="P1845" s="1"/>
      <c r="U1845" s="1"/>
    </row>
    <row r="1846" spans="15:21" x14ac:dyDescent="0.3">
      <c r="O1846" s="3"/>
      <c r="P1846" s="1"/>
      <c r="U1846" s="1"/>
    </row>
    <row r="1847" spans="15:21" x14ac:dyDescent="0.3">
      <c r="O1847" s="3"/>
      <c r="P1847" s="1"/>
      <c r="U1847" s="1"/>
    </row>
    <row r="1848" spans="15:21" x14ac:dyDescent="0.3">
      <c r="O1848" s="3"/>
      <c r="P1848" s="1"/>
      <c r="U1848" s="1"/>
    </row>
    <row r="1849" spans="15:21" x14ac:dyDescent="0.3">
      <c r="O1849" s="3"/>
      <c r="P1849" s="1"/>
      <c r="U1849" s="1"/>
    </row>
    <row r="1850" spans="15:21" x14ac:dyDescent="0.3">
      <c r="O1850" s="3"/>
      <c r="P1850" s="1"/>
      <c r="U1850" s="1"/>
    </row>
    <row r="1851" spans="15:21" x14ac:dyDescent="0.3">
      <c r="O1851" s="3"/>
      <c r="P1851" s="1"/>
      <c r="U1851" s="1"/>
    </row>
    <row r="1852" spans="15:21" x14ac:dyDescent="0.3">
      <c r="O1852" s="3"/>
      <c r="P1852" s="1"/>
      <c r="U1852" s="1"/>
    </row>
    <row r="1853" spans="15:21" x14ac:dyDescent="0.3">
      <c r="O1853" s="3"/>
      <c r="P1853" s="1"/>
      <c r="U1853" s="1"/>
    </row>
    <row r="1854" spans="15:21" x14ac:dyDescent="0.3">
      <c r="O1854" s="3"/>
      <c r="P1854" s="1"/>
      <c r="U1854" s="1"/>
    </row>
    <row r="1855" spans="15:21" x14ac:dyDescent="0.3">
      <c r="O1855" s="3"/>
      <c r="P1855" s="1"/>
      <c r="U1855" s="1"/>
    </row>
    <row r="1856" spans="15:21" x14ac:dyDescent="0.3">
      <c r="O1856" s="3"/>
      <c r="P1856" s="1"/>
      <c r="U1856" s="1"/>
    </row>
    <row r="1857" spans="15:21" x14ac:dyDescent="0.3">
      <c r="O1857" s="3"/>
      <c r="P1857" s="1"/>
      <c r="U1857" s="1"/>
    </row>
    <row r="1858" spans="15:21" x14ac:dyDescent="0.3">
      <c r="O1858" s="3"/>
      <c r="P1858" s="1"/>
      <c r="U1858" s="1"/>
    </row>
    <row r="1859" spans="15:21" x14ac:dyDescent="0.3">
      <c r="O1859" s="3"/>
      <c r="P1859" s="1"/>
      <c r="U1859" s="1"/>
    </row>
    <row r="1860" spans="15:21" x14ac:dyDescent="0.3">
      <c r="O1860" s="3"/>
      <c r="P1860" s="1"/>
      <c r="U1860" s="1"/>
    </row>
    <row r="1861" spans="15:21" x14ac:dyDescent="0.3">
      <c r="O1861" s="3"/>
      <c r="P1861" s="1"/>
      <c r="U1861" s="1"/>
    </row>
    <row r="1862" spans="15:21" x14ac:dyDescent="0.3">
      <c r="O1862" s="3"/>
      <c r="P1862" s="1"/>
      <c r="U1862" s="1"/>
    </row>
    <row r="1863" spans="15:21" x14ac:dyDescent="0.3">
      <c r="O1863" s="3"/>
      <c r="P1863" s="1"/>
      <c r="U1863" s="1"/>
    </row>
    <row r="1864" spans="15:21" x14ac:dyDescent="0.3">
      <c r="O1864" s="3"/>
      <c r="P1864" s="1"/>
      <c r="U1864" s="1"/>
    </row>
    <row r="1865" spans="15:21" x14ac:dyDescent="0.3">
      <c r="O1865" s="3"/>
      <c r="P1865" s="1"/>
      <c r="U1865" s="1"/>
    </row>
    <row r="1866" spans="15:21" x14ac:dyDescent="0.3">
      <c r="O1866" s="3"/>
      <c r="P1866" s="1"/>
      <c r="U1866" s="1"/>
    </row>
    <row r="1867" spans="15:21" x14ac:dyDescent="0.3">
      <c r="O1867" s="3"/>
      <c r="P1867" s="1"/>
      <c r="U1867" s="1"/>
    </row>
    <row r="1868" spans="15:21" x14ac:dyDescent="0.3">
      <c r="O1868" s="3"/>
      <c r="P1868" s="1"/>
      <c r="U1868" s="1"/>
    </row>
    <row r="1869" spans="15:21" x14ac:dyDescent="0.3">
      <c r="O1869" s="3"/>
      <c r="P1869" s="1"/>
      <c r="U1869" s="1"/>
    </row>
    <row r="1870" spans="15:21" x14ac:dyDescent="0.3">
      <c r="O1870" s="3"/>
      <c r="P1870" s="1"/>
      <c r="U1870" s="1"/>
    </row>
    <row r="1871" spans="15:21" x14ac:dyDescent="0.3">
      <c r="O1871" s="3"/>
      <c r="P1871" s="1"/>
      <c r="U1871" s="1"/>
    </row>
    <row r="1872" spans="15:21" x14ac:dyDescent="0.3">
      <c r="O1872" s="3"/>
      <c r="P1872" s="1"/>
      <c r="U1872" s="1"/>
    </row>
    <row r="1873" spans="15:21" x14ac:dyDescent="0.3">
      <c r="O1873" s="3"/>
      <c r="P1873" s="1"/>
      <c r="U1873" s="1"/>
    </row>
    <row r="1874" spans="15:21" x14ac:dyDescent="0.3">
      <c r="O1874" s="3"/>
      <c r="P1874" s="1"/>
      <c r="U1874" s="1"/>
    </row>
    <row r="1875" spans="15:21" x14ac:dyDescent="0.3">
      <c r="O1875" s="3"/>
      <c r="P1875" s="1"/>
      <c r="U1875" s="1"/>
    </row>
    <row r="1876" spans="15:21" x14ac:dyDescent="0.3">
      <c r="O1876" s="3"/>
      <c r="P1876" s="1"/>
      <c r="U1876" s="1"/>
    </row>
    <row r="1877" spans="15:21" x14ac:dyDescent="0.3">
      <c r="O1877" s="3"/>
      <c r="P1877" s="1"/>
      <c r="U1877" s="1"/>
    </row>
    <row r="1878" spans="15:21" x14ac:dyDescent="0.3">
      <c r="O1878" s="3"/>
      <c r="P1878" s="1"/>
      <c r="U1878" s="1"/>
    </row>
    <row r="1879" spans="15:21" x14ac:dyDescent="0.3">
      <c r="O1879" s="3"/>
      <c r="P1879" s="1"/>
      <c r="U1879" s="1"/>
    </row>
    <row r="1880" spans="15:21" x14ac:dyDescent="0.3">
      <c r="O1880" s="3"/>
      <c r="P1880" s="1"/>
      <c r="U1880" s="1"/>
    </row>
    <row r="1881" spans="15:21" x14ac:dyDescent="0.3">
      <c r="O1881" s="3"/>
      <c r="P1881" s="1"/>
      <c r="U1881" s="1"/>
    </row>
    <row r="1882" spans="15:21" x14ac:dyDescent="0.3">
      <c r="O1882" s="3"/>
      <c r="P1882" s="1"/>
      <c r="U1882" s="1"/>
    </row>
    <row r="1883" spans="15:21" x14ac:dyDescent="0.3">
      <c r="O1883" s="3"/>
      <c r="P1883" s="1"/>
      <c r="U1883" s="1"/>
    </row>
    <row r="1884" spans="15:21" x14ac:dyDescent="0.3">
      <c r="O1884" s="3"/>
      <c r="P1884" s="1"/>
      <c r="U1884" s="1"/>
    </row>
    <row r="1885" spans="15:21" x14ac:dyDescent="0.3">
      <c r="O1885" s="3"/>
      <c r="P1885" s="1"/>
      <c r="U1885" s="1"/>
    </row>
    <row r="1886" spans="15:21" x14ac:dyDescent="0.3">
      <c r="O1886" s="3"/>
      <c r="P1886" s="1"/>
      <c r="U1886" s="1"/>
    </row>
    <row r="1887" spans="15:21" x14ac:dyDescent="0.3">
      <c r="O1887" s="3"/>
      <c r="P1887" s="1"/>
      <c r="U1887" s="1"/>
    </row>
    <row r="1888" spans="15:21" x14ac:dyDescent="0.3">
      <c r="O1888" s="3"/>
      <c r="P1888" s="1"/>
      <c r="U1888" s="1"/>
    </row>
    <row r="1889" spans="15:21" x14ac:dyDescent="0.3">
      <c r="O1889" s="3"/>
      <c r="P1889" s="1"/>
      <c r="U1889" s="1"/>
    </row>
    <row r="1890" spans="15:21" x14ac:dyDescent="0.3">
      <c r="O1890" s="3"/>
      <c r="P1890" s="1"/>
      <c r="U1890" s="1"/>
    </row>
    <row r="1891" spans="15:21" x14ac:dyDescent="0.3">
      <c r="O1891" s="3"/>
      <c r="P1891" s="1"/>
      <c r="U1891" s="1"/>
    </row>
    <row r="1892" spans="15:21" x14ac:dyDescent="0.3">
      <c r="O1892" s="3"/>
      <c r="P1892" s="1"/>
      <c r="U1892" s="1"/>
    </row>
    <row r="1893" spans="15:21" x14ac:dyDescent="0.3">
      <c r="O1893" s="3"/>
      <c r="P1893" s="1"/>
      <c r="U1893" s="1"/>
    </row>
    <row r="1894" spans="15:21" x14ac:dyDescent="0.3">
      <c r="O1894" s="3"/>
      <c r="P1894" s="1"/>
      <c r="U1894" s="1"/>
    </row>
    <row r="1895" spans="15:21" x14ac:dyDescent="0.3">
      <c r="O1895" s="3"/>
      <c r="P1895" s="1"/>
      <c r="U1895" s="1"/>
    </row>
    <row r="1896" spans="15:21" x14ac:dyDescent="0.3">
      <c r="O1896" s="3"/>
      <c r="P1896" s="1"/>
      <c r="U1896" s="1"/>
    </row>
    <row r="1897" spans="15:21" x14ac:dyDescent="0.3">
      <c r="O1897" s="3"/>
      <c r="P1897" s="1"/>
      <c r="U1897" s="1"/>
    </row>
    <row r="1898" spans="15:21" x14ac:dyDescent="0.3">
      <c r="O1898" s="3"/>
      <c r="P1898" s="1"/>
      <c r="U1898" s="1"/>
    </row>
    <row r="1899" spans="15:21" x14ac:dyDescent="0.3">
      <c r="O1899" s="3"/>
      <c r="P1899" s="1"/>
      <c r="U1899" s="1"/>
    </row>
    <row r="1900" spans="15:21" x14ac:dyDescent="0.3">
      <c r="O1900" s="3"/>
      <c r="P1900" s="1"/>
      <c r="U1900" s="1"/>
    </row>
    <row r="1901" spans="15:21" x14ac:dyDescent="0.3">
      <c r="O1901" s="3"/>
      <c r="P1901" s="1"/>
      <c r="U1901" s="1"/>
    </row>
    <row r="1902" spans="15:21" x14ac:dyDescent="0.3">
      <c r="O1902" s="3"/>
      <c r="P1902" s="1"/>
      <c r="U1902" s="1"/>
    </row>
    <row r="1903" spans="15:21" x14ac:dyDescent="0.3">
      <c r="O1903" s="3"/>
      <c r="P1903" s="1"/>
      <c r="U1903" s="1"/>
    </row>
    <row r="1904" spans="15:21" x14ac:dyDescent="0.3">
      <c r="O1904" s="3"/>
      <c r="P1904" s="1"/>
      <c r="U1904" s="1"/>
    </row>
    <row r="1905" spans="15:21" x14ac:dyDescent="0.3">
      <c r="O1905" s="3"/>
      <c r="P1905" s="1"/>
      <c r="U1905" s="1"/>
    </row>
    <row r="1906" spans="15:21" x14ac:dyDescent="0.3">
      <c r="O1906" s="3"/>
      <c r="P1906" s="1"/>
      <c r="U1906" s="1"/>
    </row>
    <row r="1907" spans="15:21" x14ac:dyDescent="0.3">
      <c r="O1907" s="3"/>
      <c r="P1907" s="1"/>
      <c r="U1907" s="1"/>
    </row>
    <row r="1908" spans="15:21" x14ac:dyDescent="0.3">
      <c r="O1908" s="3"/>
      <c r="P1908" s="1"/>
      <c r="U1908" s="1"/>
    </row>
    <row r="1909" spans="15:21" x14ac:dyDescent="0.3">
      <c r="O1909" s="3"/>
      <c r="P1909" s="1"/>
      <c r="U1909" s="1"/>
    </row>
    <row r="1910" spans="15:21" x14ac:dyDescent="0.3">
      <c r="O1910" s="3"/>
      <c r="P1910" s="1"/>
      <c r="U1910" s="1"/>
    </row>
    <row r="1911" spans="15:21" x14ac:dyDescent="0.3">
      <c r="O1911" s="3"/>
      <c r="P1911" s="1"/>
      <c r="U1911" s="1"/>
    </row>
    <row r="1912" spans="15:21" x14ac:dyDescent="0.3">
      <c r="O1912" s="3"/>
      <c r="P1912" s="1"/>
      <c r="U1912" s="1"/>
    </row>
    <row r="1913" spans="15:21" x14ac:dyDescent="0.3">
      <c r="O1913" s="3"/>
      <c r="P1913" s="1"/>
      <c r="U1913" s="1"/>
    </row>
    <row r="1914" spans="15:21" x14ac:dyDescent="0.3">
      <c r="O1914" s="3"/>
      <c r="P1914" s="1"/>
      <c r="U1914" s="1"/>
    </row>
    <row r="1915" spans="15:21" x14ac:dyDescent="0.3">
      <c r="O1915" s="3"/>
      <c r="P1915" s="1"/>
      <c r="U1915" s="1"/>
    </row>
    <row r="1916" spans="15:21" x14ac:dyDescent="0.3">
      <c r="O1916" s="3"/>
      <c r="P1916" s="1"/>
      <c r="U1916" s="1"/>
    </row>
    <row r="1917" spans="15:21" x14ac:dyDescent="0.3">
      <c r="O1917" s="3"/>
      <c r="P1917" s="1"/>
      <c r="U1917" s="1"/>
    </row>
    <row r="1918" spans="15:21" x14ac:dyDescent="0.3">
      <c r="O1918" s="3"/>
      <c r="P1918" s="1"/>
      <c r="U1918" s="1"/>
    </row>
    <row r="1919" spans="15:21" x14ac:dyDescent="0.3">
      <c r="O1919" s="3"/>
      <c r="P1919" s="1"/>
      <c r="U1919" s="1"/>
    </row>
    <row r="1920" spans="15:21" x14ac:dyDescent="0.3">
      <c r="O1920" s="3"/>
      <c r="P1920" s="1"/>
      <c r="U1920" s="1"/>
    </row>
    <row r="1921" spans="15:21" x14ac:dyDescent="0.3">
      <c r="O1921" s="3"/>
      <c r="P1921" s="1"/>
      <c r="U1921" s="1"/>
    </row>
    <row r="1922" spans="15:21" x14ac:dyDescent="0.3">
      <c r="O1922" s="3"/>
      <c r="P1922" s="1"/>
      <c r="U1922" s="1"/>
    </row>
    <row r="1923" spans="15:21" x14ac:dyDescent="0.3">
      <c r="O1923" s="3"/>
      <c r="P1923" s="1"/>
      <c r="U1923" s="1"/>
    </row>
    <row r="1924" spans="15:21" x14ac:dyDescent="0.3">
      <c r="O1924" s="3"/>
      <c r="P1924" s="1"/>
      <c r="U1924" s="1"/>
    </row>
    <row r="1925" spans="15:21" x14ac:dyDescent="0.3">
      <c r="O1925" s="3"/>
      <c r="P1925" s="1"/>
      <c r="U1925" s="1"/>
    </row>
    <row r="1926" spans="15:21" x14ac:dyDescent="0.3">
      <c r="O1926" s="3"/>
      <c r="P1926" s="1"/>
      <c r="U1926" s="1"/>
    </row>
    <row r="1927" spans="15:21" x14ac:dyDescent="0.3">
      <c r="O1927" s="3"/>
      <c r="P1927" s="1"/>
      <c r="U1927" s="1"/>
    </row>
    <row r="1928" spans="15:21" x14ac:dyDescent="0.3">
      <c r="O1928" s="3"/>
      <c r="P1928" s="1"/>
      <c r="U1928" s="1"/>
    </row>
    <row r="1929" spans="15:21" x14ac:dyDescent="0.3">
      <c r="O1929" s="3"/>
      <c r="P1929" s="1"/>
      <c r="U1929" s="1"/>
    </row>
    <row r="1930" spans="15:21" x14ac:dyDescent="0.3">
      <c r="O1930" s="3"/>
      <c r="P1930" s="1"/>
      <c r="U1930" s="1"/>
    </row>
    <row r="1931" spans="15:21" x14ac:dyDescent="0.3">
      <c r="O1931" s="3"/>
      <c r="P1931" s="1"/>
      <c r="U1931" s="1"/>
    </row>
    <row r="1932" spans="15:21" x14ac:dyDescent="0.3">
      <c r="O1932" s="3"/>
      <c r="P1932" s="1"/>
      <c r="U1932" s="1"/>
    </row>
    <row r="1933" spans="15:21" x14ac:dyDescent="0.3">
      <c r="O1933" s="3"/>
      <c r="P1933" s="1"/>
      <c r="U1933" s="1"/>
    </row>
    <row r="1934" spans="15:21" x14ac:dyDescent="0.3">
      <c r="O1934" s="3"/>
      <c r="P1934" s="1"/>
      <c r="U1934" s="1"/>
    </row>
    <row r="1935" spans="15:21" x14ac:dyDescent="0.3">
      <c r="O1935" s="3"/>
      <c r="P1935" s="1"/>
      <c r="U1935" s="1"/>
    </row>
    <row r="1936" spans="15:21" x14ac:dyDescent="0.3">
      <c r="O1936" s="3"/>
      <c r="P1936" s="1"/>
      <c r="U1936" s="1"/>
    </row>
    <row r="1937" spans="15:21" x14ac:dyDescent="0.3">
      <c r="O1937" s="3"/>
      <c r="P1937" s="1"/>
      <c r="U1937" s="1"/>
    </row>
    <row r="1938" spans="15:21" x14ac:dyDescent="0.3">
      <c r="O1938" s="3"/>
      <c r="P1938" s="1"/>
      <c r="U1938" s="1"/>
    </row>
    <row r="1939" spans="15:21" x14ac:dyDescent="0.3">
      <c r="O1939" s="3"/>
      <c r="P1939" s="1"/>
      <c r="U1939" s="1"/>
    </row>
    <row r="1940" spans="15:21" x14ac:dyDescent="0.3">
      <c r="O1940" s="3"/>
      <c r="P1940" s="1"/>
      <c r="U1940" s="1"/>
    </row>
    <row r="1941" spans="15:21" x14ac:dyDescent="0.3">
      <c r="O1941" s="3"/>
      <c r="P1941" s="1"/>
      <c r="U1941" s="1"/>
    </row>
    <row r="1942" spans="15:21" x14ac:dyDescent="0.3">
      <c r="O1942" s="3"/>
      <c r="P1942" s="1"/>
      <c r="U1942" s="1"/>
    </row>
    <row r="1943" spans="15:21" x14ac:dyDescent="0.3">
      <c r="O1943" s="3"/>
      <c r="P1943" s="1"/>
      <c r="U1943" s="1"/>
    </row>
    <row r="1944" spans="15:21" x14ac:dyDescent="0.3">
      <c r="O1944" s="3"/>
      <c r="P1944" s="1"/>
      <c r="U1944" s="1"/>
    </row>
    <row r="1945" spans="15:21" x14ac:dyDescent="0.3">
      <c r="O1945" s="3"/>
      <c r="P1945" s="1"/>
      <c r="U1945" s="1"/>
    </row>
    <row r="1946" spans="15:21" x14ac:dyDescent="0.3">
      <c r="O1946" s="3"/>
      <c r="P1946" s="1"/>
      <c r="U1946" s="1"/>
    </row>
    <row r="1947" spans="15:21" x14ac:dyDescent="0.3">
      <c r="O1947" s="3"/>
      <c r="P1947" s="1"/>
      <c r="U1947" s="1"/>
    </row>
    <row r="1948" spans="15:21" x14ac:dyDescent="0.3">
      <c r="O1948" s="3"/>
      <c r="P1948" s="1"/>
      <c r="U1948" s="1"/>
    </row>
    <row r="1949" spans="15:21" x14ac:dyDescent="0.3">
      <c r="O1949" s="3"/>
      <c r="P1949" s="1"/>
      <c r="U1949" s="1"/>
    </row>
    <row r="1950" spans="15:21" x14ac:dyDescent="0.3">
      <c r="O1950" s="3"/>
      <c r="P1950" s="1"/>
      <c r="U1950" s="1"/>
    </row>
    <row r="1951" spans="15:21" x14ac:dyDescent="0.3">
      <c r="O1951" s="3"/>
      <c r="P1951" s="1"/>
      <c r="U1951" s="1"/>
    </row>
    <row r="1952" spans="15:21" x14ac:dyDescent="0.3">
      <c r="O1952" s="3"/>
      <c r="P1952" s="1"/>
      <c r="U1952" s="1"/>
    </row>
    <row r="1953" spans="15:21" x14ac:dyDescent="0.3">
      <c r="O1953" s="3"/>
      <c r="P1953" s="1"/>
      <c r="U1953" s="1"/>
    </row>
    <row r="1954" spans="15:21" x14ac:dyDescent="0.3">
      <c r="O1954" s="3"/>
      <c r="P1954" s="1"/>
      <c r="U1954" s="1"/>
    </row>
    <row r="1955" spans="15:21" x14ac:dyDescent="0.3">
      <c r="O1955" s="3"/>
      <c r="P1955" s="1"/>
      <c r="U1955" s="1"/>
    </row>
    <row r="1956" spans="15:21" x14ac:dyDescent="0.3">
      <c r="O1956" s="3"/>
      <c r="P1956" s="1"/>
      <c r="U1956" s="1"/>
    </row>
    <row r="1957" spans="15:21" x14ac:dyDescent="0.3">
      <c r="O1957" s="3"/>
      <c r="P1957" s="1"/>
      <c r="U1957" s="1"/>
    </row>
    <row r="1958" spans="15:21" x14ac:dyDescent="0.3">
      <c r="O1958" s="3"/>
      <c r="P1958" s="1"/>
      <c r="U1958" s="1"/>
    </row>
    <row r="1959" spans="15:21" x14ac:dyDescent="0.3">
      <c r="O1959" s="3"/>
      <c r="P1959" s="1"/>
      <c r="U1959" s="1"/>
    </row>
    <row r="1960" spans="15:21" x14ac:dyDescent="0.3">
      <c r="O1960" s="3"/>
      <c r="P1960" s="1"/>
      <c r="U1960" s="1"/>
    </row>
    <row r="1961" spans="15:21" x14ac:dyDescent="0.3">
      <c r="O1961" s="3"/>
      <c r="P1961" s="1"/>
      <c r="U1961" s="1"/>
    </row>
    <row r="1962" spans="15:21" x14ac:dyDescent="0.3">
      <c r="O1962" s="3"/>
      <c r="P1962" s="1"/>
      <c r="U1962" s="1"/>
    </row>
    <row r="1963" spans="15:21" x14ac:dyDescent="0.3">
      <c r="O1963" s="3"/>
      <c r="P1963" s="1"/>
      <c r="U1963" s="1"/>
    </row>
    <row r="1964" spans="15:21" x14ac:dyDescent="0.3">
      <c r="O1964" s="3"/>
      <c r="P1964" s="1"/>
      <c r="U1964" s="1"/>
    </row>
    <row r="1965" spans="15:21" x14ac:dyDescent="0.3">
      <c r="O1965" s="3"/>
      <c r="P1965" s="1"/>
      <c r="U1965" s="1"/>
    </row>
    <row r="1966" spans="15:21" x14ac:dyDescent="0.3">
      <c r="O1966" s="3"/>
      <c r="P1966" s="1"/>
      <c r="U1966" s="1"/>
    </row>
    <row r="1967" spans="15:21" x14ac:dyDescent="0.3">
      <c r="O1967" s="3"/>
      <c r="P1967" s="1"/>
      <c r="U1967" s="1"/>
    </row>
    <row r="1968" spans="15:21" x14ac:dyDescent="0.3">
      <c r="O1968" s="3"/>
      <c r="P1968" s="1"/>
      <c r="U1968" s="1"/>
    </row>
    <row r="1969" spans="15:21" x14ac:dyDescent="0.3">
      <c r="O1969" s="3"/>
      <c r="P1969" s="1"/>
      <c r="U1969" s="1"/>
    </row>
    <row r="1970" spans="15:21" x14ac:dyDescent="0.3">
      <c r="O1970" s="3"/>
      <c r="P1970" s="1"/>
      <c r="U1970" s="1"/>
    </row>
    <row r="1971" spans="15:21" x14ac:dyDescent="0.3">
      <c r="O1971" s="3"/>
      <c r="P1971" s="1"/>
      <c r="U1971" s="1"/>
    </row>
    <row r="1972" spans="15:21" x14ac:dyDescent="0.3">
      <c r="O1972" s="3"/>
      <c r="P1972" s="1"/>
      <c r="U1972" s="1"/>
    </row>
    <row r="1973" spans="15:21" x14ac:dyDescent="0.3">
      <c r="O1973" s="3"/>
      <c r="P1973" s="1"/>
      <c r="U1973" s="1"/>
    </row>
    <row r="1974" spans="15:21" x14ac:dyDescent="0.3">
      <c r="O1974" s="3"/>
      <c r="P1974" s="1"/>
      <c r="U1974" s="1"/>
    </row>
    <row r="1975" spans="15:21" x14ac:dyDescent="0.3">
      <c r="O1975" s="3"/>
      <c r="P1975" s="1"/>
      <c r="U1975" s="1"/>
    </row>
    <row r="1976" spans="15:21" x14ac:dyDescent="0.3">
      <c r="O1976" s="3"/>
      <c r="P1976" s="1"/>
      <c r="U1976" s="1"/>
    </row>
    <row r="1977" spans="15:21" x14ac:dyDescent="0.3">
      <c r="O1977" s="3"/>
      <c r="P1977" s="1"/>
      <c r="U1977" s="1"/>
    </row>
    <row r="1978" spans="15:21" x14ac:dyDescent="0.3">
      <c r="O1978" s="3"/>
      <c r="P1978" s="1"/>
      <c r="U1978" s="1"/>
    </row>
    <row r="1979" spans="15:21" x14ac:dyDescent="0.3">
      <c r="O1979" s="3"/>
      <c r="P1979" s="1"/>
      <c r="U1979" s="1"/>
    </row>
    <row r="1980" spans="15:21" x14ac:dyDescent="0.3">
      <c r="O1980" s="3"/>
      <c r="P1980" s="1"/>
      <c r="U1980" s="1"/>
    </row>
    <row r="1981" spans="15:21" x14ac:dyDescent="0.3">
      <c r="O1981" s="3"/>
      <c r="P1981" s="1"/>
      <c r="U1981" s="1"/>
    </row>
    <row r="1982" spans="15:21" x14ac:dyDescent="0.3">
      <c r="O1982" s="3"/>
      <c r="P1982" s="1"/>
      <c r="U1982" s="1"/>
    </row>
    <row r="1983" spans="15:21" x14ac:dyDescent="0.3">
      <c r="O1983" s="3"/>
      <c r="P1983" s="1"/>
      <c r="U1983" s="1"/>
    </row>
    <row r="1984" spans="15:21" x14ac:dyDescent="0.3">
      <c r="O1984" s="3"/>
      <c r="P1984" s="1"/>
      <c r="U1984" s="1"/>
    </row>
    <row r="1985" spans="15:21" x14ac:dyDescent="0.3">
      <c r="O1985" s="3"/>
      <c r="P1985" s="1"/>
      <c r="U1985" s="1"/>
    </row>
    <row r="1986" spans="15:21" x14ac:dyDescent="0.3">
      <c r="O1986" s="3"/>
      <c r="P1986" s="1"/>
      <c r="U1986" s="1"/>
    </row>
    <row r="1987" spans="15:21" x14ac:dyDescent="0.3">
      <c r="O1987" s="3"/>
      <c r="P1987" s="1"/>
      <c r="U1987" s="1"/>
    </row>
    <row r="1988" spans="15:21" x14ac:dyDescent="0.3">
      <c r="O1988" s="3"/>
      <c r="P1988" s="1"/>
      <c r="U1988" s="1"/>
    </row>
    <row r="1989" spans="15:21" x14ac:dyDescent="0.3">
      <c r="O1989" s="3"/>
      <c r="P1989" s="1"/>
      <c r="U1989" s="1"/>
    </row>
    <row r="1990" spans="15:21" x14ac:dyDescent="0.3">
      <c r="O1990" s="3"/>
      <c r="P1990" s="1"/>
      <c r="U1990" s="1"/>
    </row>
    <row r="1991" spans="15:21" x14ac:dyDescent="0.3">
      <c r="O1991" s="3"/>
      <c r="P1991" s="1"/>
      <c r="U1991" s="1"/>
    </row>
    <row r="1992" spans="15:21" x14ac:dyDescent="0.3">
      <c r="O1992" s="3"/>
      <c r="P1992" s="1"/>
      <c r="U1992" s="1"/>
    </row>
    <row r="1993" spans="15:21" x14ac:dyDescent="0.3">
      <c r="O1993" s="3"/>
      <c r="P1993" s="1"/>
      <c r="U1993" s="1"/>
    </row>
    <row r="1994" spans="15:21" x14ac:dyDescent="0.3">
      <c r="O1994" s="3"/>
      <c r="P1994" s="1"/>
      <c r="U1994" s="1"/>
    </row>
    <row r="1995" spans="15:21" x14ac:dyDescent="0.3">
      <c r="O1995" s="3"/>
      <c r="P1995" s="1"/>
      <c r="U1995" s="1"/>
    </row>
    <row r="1996" spans="15:21" x14ac:dyDescent="0.3">
      <c r="O1996" s="3"/>
      <c r="P1996" s="1"/>
      <c r="U1996" s="1"/>
    </row>
    <row r="1997" spans="15:21" x14ac:dyDescent="0.3">
      <c r="O1997" s="3"/>
      <c r="P1997" s="1"/>
      <c r="U1997" s="1"/>
    </row>
    <row r="1998" spans="15:21" x14ac:dyDescent="0.3">
      <c r="O1998" s="3"/>
      <c r="P1998" s="1"/>
      <c r="U1998" s="1"/>
    </row>
    <row r="1999" spans="15:21" x14ac:dyDescent="0.3">
      <c r="O1999" s="3"/>
      <c r="P1999" s="1"/>
      <c r="U1999" s="1"/>
    </row>
    <row r="2000" spans="15:21" x14ac:dyDescent="0.3">
      <c r="O2000" s="3"/>
      <c r="P2000" s="1"/>
      <c r="U2000" s="1"/>
    </row>
    <row r="2001" spans="15:21" x14ac:dyDescent="0.3">
      <c r="O2001" s="3"/>
      <c r="P2001" s="1"/>
      <c r="U2001" s="1"/>
    </row>
    <row r="2002" spans="15:21" x14ac:dyDescent="0.3">
      <c r="O2002" s="3"/>
      <c r="P2002" s="1"/>
      <c r="U2002" s="1"/>
    </row>
    <row r="2003" spans="15:21" x14ac:dyDescent="0.3">
      <c r="O2003" s="3"/>
      <c r="P2003" s="1"/>
      <c r="U2003" s="1"/>
    </row>
    <row r="2004" spans="15:21" x14ac:dyDescent="0.3">
      <c r="O2004" s="3"/>
      <c r="P2004" s="1"/>
      <c r="U2004" s="1"/>
    </row>
    <row r="2005" spans="15:21" x14ac:dyDescent="0.3">
      <c r="O2005" s="3"/>
      <c r="P2005" s="1"/>
      <c r="U2005" s="1"/>
    </row>
    <row r="2006" spans="15:21" x14ac:dyDescent="0.3">
      <c r="O2006" s="3"/>
      <c r="P2006" s="1"/>
      <c r="U2006" s="1"/>
    </row>
    <row r="2007" spans="15:21" x14ac:dyDescent="0.3">
      <c r="O2007" s="3"/>
      <c r="P2007" s="1"/>
      <c r="U2007" s="1"/>
    </row>
    <row r="2008" spans="15:21" x14ac:dyDescent="0.3">
      <c r="O2008" s="3"/>
      <c r="P2008" s="1"/>
      <c r="U2008" s="1"/>
    </row>
    <row r="2009" spans="15:21" x14ac:dyDescent="0.3">
      <c r="O2009" s="3"/>
      <c r="P2009" s="1"/>
      <c r="U2009" s="1"/>
    </row>
    <row r="2010" spans="15:21" x14ac:dyDescent="0.3">
      <c r="O2010" s="3"/>
      <c r="P2010" s="1"/>
      <c r="U2010" s="1"/>
    </row>
    <row r="2011" spans="15:21" x14ac:dyDescent="0.3">
      <c r="O2011" s="3"/>
      <c r="P2011" s="1"/>
      <c r="U2011" s="1"/>
    </row>
    <row r="2012" spans="15:21" x14ac:dyDescent="0.3">
      <c r="O2012" s="3"/>
      <c r="P2012" s="1"/>
      <c r="U2012" s="1"/>
    </row>
    <row r="2013" spans="15:21" x14ac:dyDescent="0.3">
      <c r="O2013" s="3"/>
      <c r="P2013" s="1"/>
      <c r="U2013" s="1"/>
    </row>
    <row r="2014" spans="15:21" x14ac:dyDescent="0.3">
      <c r="O2014" s="3"/>
      <c r="P2014" s="1"/>
      <c r="U2014" s="1"/>
    </row>
    <row r="2015" spans="15:21" x14ac:dyDescent="0.3">
      <c r="O2015" s="3"/>
      <c r="P2015" s="1"/>
      <c r="U2015" s="1"/>
    </row>
    <row r="2016" spans="15:21" x14ac:dyDescent="0.3">
      <c r="O2016" s="3"/>
      <c r="P2016" s="1"/>
      <c r="U2016" s="1"/>
    </row>
    <row r="2017" spans="15:21" x14ac:dyDescent="0.3">
      <c r="O2017" s="3"/>
      <c r="P2017" s="1"/>
      <c r="U2017" s="1"/>
    </row>
    <row r="2018" spans="15:21" x14ac:dyDescent="0.3">
      <c r="O2018" s="3"/>
      <c r="P2018" s="1"/>
      <c r="U2018" s="1"/>
    </row>
    <row r="2019" spans="15:21" x14ac:dyDescent="0.3">
      <c r="O2019" s="3"/>
      <c r="P2019" s="1"/>
      <c r="U2019" s="1"/>
    </row>
    <row r="2020" spans="15:21" x14ac:dyDescent="0.3">
      <c r="O2020" s="3"/>
      <c r="P2020" s="1"/>
      <c r="U2020" s="1"/>
    </row>
    <row r="2021" spans="15:21" x14ac:dyDescent="0.3">
      <c r="O2021" s="3"/>
      <c r="P2021" s="1"/>
      <c r="U2021" s="1"/>
    </row>
    <row r="2022" spans="15:21" x14ac:dyDescent="0.3">
      <c r="O2022" s="3"/>
      <c r="P2022" s="1"/>
      <c r="U2022" s="1"/>
    </row>
    <row r="2023" spans="15:21" x14ac:dyDescent="0.3">
      <c r="O2023" s="3"/>
      <c r="P2023" s="1"/>
      <c r="U2023" s="1"/>
    </row>
    <row r="2024" spans="15:21" x14ac:dyDescent="0.3">
      <c r="O2024" s="3"/>
      <c r="P2024" s="1"/>
      <c r="U2024" s="1"/>
    </row>
    <row r="2025" spans="15:21" x14ac:dyDescent="0.3">
      <c r="O2025" s="3"/>
      <c r="P2025" s="1"/>
      <c r="U2025" s="1"/>
    </row>
    <row r="2026" spans="15:21" x14ac:dyDescent="0.3">
      <c r="O2026" s="3"/>
      <c r="P2026" s="1"/>
      <c r="U2026" s="1"/>
    </row>
    <row r="2027" spans="15:21" x14ac:dyDescent="0.3">
      <c r="O2027" s="3"/>
      <c r="P2027" s="1"/>
      <c r="U2027" s="1"/>
    </row>
    <row r="2028" spans="15:21" x14ac:dyDescent="0.3">
      <c r="O2028" s="3"/>
      <c r="P2028" s="1"/>
      <c r="U2028" s="1"/>
    </row>
    <row r="2029" spans="15:21" x14ac:dyDescent="0.3">
      <c r="O2029" s="3"/>
      <c r="P2029" s="1"/>
      <c r="U2029" s="1"/>
    </row>
    <row r="2030" spans="15:21" x14ac:dyDescent="0.3">
      <c r="O2030" s="3"/>
      <c r="P2030" s="1"/>
      <c r="U2030" s="1"/>
    </row>
    <row r="2031" spans="15:21" x14ac:dyDescent="0.3">
      <c r="O2031" s="3"/>
      <c r="P2031" s="1"/>
      <c r="U2031" s="1"/>
    </row>
    <row r="2032" spans="15:21" x14ac:dyDescent="0.3">
      <c r="O2032" s="3"/>
      <c r="P2032" s="1"/>
      <c r="U2032" s="1"/>
    </row>
    <row r="2033" spans="15:21" x14ac:dyDescent="0.3">
      <c r="O2033" s="3"/>
      <c r="P2033" s="1"/>
      <c r="U2033" s="1"/>
    </row>
    <row r="2034" spans="15:21" x14ac:dyDescent="0.3">
      <c r="O2034" s="3"/>
      <c r="P2034" s="1"/>
      <c r="U2034" s="1"/>
    </row>
    <row r="2035" spans="15:21" x14ac:dyDescent="0.3">
      <c r="O2035" s="3"/>
      <c r="P2035" s="1"/>
      <c r="U2035" s="1"/>
    </row>
    <row r="2036" spans="15:21" x14ac:dyDescent="0.3">
      <c r="O2036" s="3"/>
      <c r="P2036" s="1"/>
      <c r="U2036" s="1"/>
    </row>
    <row r="2037" spans="15:21" x14ac:dyDescent="0.3">
      <c r="O2037" s="3"/>
      <c r="P2037" s="1"/>
      <c r="U2037" s="1"/>
    </row>
    <row r="2038" spans="15:21" x14ac:dyDescent="0.3">
      <c r="O2038" s="3"/>
      <c r="P2038" s="1"/>
      <c r="U2038" s="1"/>
    </row>
    <row r="2039" spans="15:21" x14ac:dyDescent="0.3">
      <c r="O2039" s="3"/>
      <c r="P2039" s="1"/>
      <c r="U2039" s="1"/>
    </row>
    <row r="2040" spans="15:21" x14ac:dyDescent="0.3">
      <c r="O2040" s="3"/>
      <c r="P2040" s="1"/>
      <c r="U2040" s="1"/>
    </row>
    <row r="2041" spans="15:21" x14ac:dyDescent="0.3">
      <c r="O2041" s="3"/>
      <c r="P2041" s="1"/>
      <c r="U2041" s="1"/>
    </row>
    <row r="2042" spans="15:21" x14ac:dyDescent="0.3">
      <c r="O2042" s="3"/>
      <c r="P2042" s="1"/>
      <c r="U2042" s="1"/>
    </row>
    <row r="2043" spans="15:21" x14ac:dyDescent="0.3">
      <c r="O2043" s="3"/>
      <c r="P2043" s="1"/>
      <c r="U2043" s="1"/>
    </row>
    <row r="2044" spans="15:21" x14ac:dyDescent="0.3">
      <c r="O2044" s="3"/>
      <c r="P2044" s="1"/>
      <c r="U2044" s="1"/>
    </row>
    <row r="2045" spans="15:21" x14ac:dyDescent="0.3">
      <c r="O2045" s="3"/>
      <c r="P2045" s="1"/>
      <c r="U2045" s="1"/>
    </row>
    <row r="2046" spans="15:21" x14ac:dyDescent="0.3">
      <c r="O2046" s="3"/>
      <c r="P2046" s="1"/>
      <c r="U2046" s="1"/>
    </row>
    <row r="2047" spans="15:21" x14ac:dyDescent="0.3">
      <c r="O2047" s="3"/>
      <c r="P2047" s="1"/>
      <c r="U2047" s="1"/>
    </row>
    <row r="2048" spans="15:21" x14ac:dyDescent="0.3">
      <c r="O2048" s="3"/>
      <c r="P2048" s="1"/>
      <c r="U2048" s="1"/>
    </row>
    <row r="2049" spans="15:21" x14ac:dyDescent="0.3">
      <c r="O2049" s="3"/>
      <c r="P2049" s="1"/>
      <c r="U2049" s="1"/>
    </row>
    <row r="2050" spans="15:21" x14ac:dyDescent="0.3">
      <c r="O2050" s="3"/>
      <c r="P2050" s="1"/>
      <c r="U2050" s="1"/>
    </row>
    <row r="2051" spans="15:21" x14ac:dyDescent="0.3">
      <c r="O2051" s="3"/>
      <c r="P2051" s="1"/>
      <c r="U2051" s="1"/>
    </row>
    <row r="2052" spans="15:21" x14ac:dyDescent="0.3">
      <c r="O2052" s="3"/>
      <c r="P2052" s="1"/>
      <c r="U2052" s="1"/>
    </row>
    <row r="2053" spans="15:21" x14ac:dyDescent="0.3">
      <c r="O2053" s="3"/>
      <c r="P2053" s="1"/>
      <c r="U2053" s="1"/>
    </row>
    <row r="2054" spans="15:21" x14ac:dyDescent="0.3">
      <c r="O2054" s="3"/>
      <c r="P2054" s="1"/>
      <c r="U2054" s="1"/>
    </row>
    <row r="2055" spans="15:21" x14ac:dyDescent="0.3">
      <c r="O2055" s="3"/>
      <c r="P2055" s="1"/>
      <c r="U2055" s="1"/>
    </row>
    <row r="2056" spans="15:21" x14ac:dyDescent="0.3">
      <c r="O2056" s="3"/>
      <c r="P2056" s="1"/>
      <c r="U2056" s="1"/>
    </row>
    <row r="2057" spans="15:21" x14ac:dyDescent="0.3">
      <c r="O2057" s="3"/>
      <c r="P2057" s="1"/>
      <c r="U2057" s="1"/>
    </row>
    <row r="2058" spans="15:21" x14ac:dyDescent="0.3">
      <c r="O2058" s="3"/>
      <c r="P2058" s="1"/>
      <c r="U2058" s="1"/>
    </row>
    <row r="2059" spans="15:21" x14ac:dyDescent="0.3">
      <c r="O2059" s="3"/>
      <c r="P2059" s="1"/>
      <c r="U2059" s="1"/>
    </row>
    <row r="2060" spans="15:21" x14ac:dyDescent="0.3">
      <c r="O2060" s="3"/>
      <c r="P2060" s="1"/>
      <c r="U2060" s="1"/>
    </row>
    <row r="2061" spans="15:21" x14ac:dyDescent="0.3">
      <c r="O2061" s="3"/>
      <c r="P2061" s="1"/>
      <c r="U2061" s="1"/>
    </row>
    <row r="2062" spans="15:21" x14ac:dyDescent="0.3">
      <c r="O2062" s="3"/>
      <c r="P2062" s="1"/>
      <c r="U2062" s="1"/>
    </row>
    <row r="2063" spans="15:21" x14ac:dyDescent="0.3">
      <c r="O2063" s="3"/>
      <c r="P2063" s="1"/>
      <c r="U2063" s="1"/>
    </row>
    <row r="2064" spans="15:21" x14ac:dyDescent="0.3">
      <c r="O2064" s="3"/>
      <c r="P2064" s="1"/>
      <c r="U2064" s="1"/>
    </row>
    <row r="2065" spans="15:21" x14ac:dyDescent="0.3">
      <c r="O2065" s="3"/>
      <c r="P2065" s="1"/>
      <c r="U2065" s="1"/>
    </row>
    <row r="2066" spans="15:21" x14ac:dyDescent="0.3">
      <c r="O2066" s="3"/>
      <c r="P2066" s="1"/>
      <c r="U2066" s="1"/>
    </row>
    <row r="2067" spans="15:21" x14ac:dyDescent="0.3">
      <c r="O2067" s="3"/>
      <c r="P2067" s="1"/>
      <c r="U2067" s="1"/>
    </row>
    <row r="2068" spans="15:21" x14ac:dyDescent="0.3">
      <c r="O2068" s="3"/>
      <c r="P2068" s="1"/>
      <c r="U2068" s="1"/>
    </row>
    <row r="2069" spans="15:21" x14ac:dyDescent="0.3">
      <c r="O2069" s="3"/>
      <c r="P2069" s="1"/>
      <c r="U2069" s="1"/>
    </row>
    <row r="2070" spans="15:21" x14ac:dyDescent="0.3">
      <c r="O2070" s="3"/>
      <c r="P2070" s="1"/>
      <c r="U2070" s="1"/>
    </row>
    <row r="2071" spans="15:21" x14ac:dyDescent="0.3">
      <c r="O2071" s="3"/>
      <c r="P2071" s="1"/>
      <c r="U2071" s="1"/>
    </row>
    <row r="2072" spans="15:21" x14ac:dyDescent="0.3">
      <c r="O2072" s="3"/>
      <c r="P2072" s="1"/>
      <c r="U2072" s="1"/>
    </row>
    <row r="2073" spans="15:21" x14ac:dyDescent="0.3">
      <c r="P2073" s="1"/>
      <c r="S2073" s="3"/>
      <c r="U2073" s="1"/>
    </row>
    <row r="2074" spans="15:21" x14ac:dyDescent="0.3">
      <c r="P2074" s="1"/>
      <c r="S2074" s="3"/>
      <c r="U2074" s="1"/>
    </row>
    <row r="2075" spans="15:21" x14ac:dyDescent="0.3">
      <c r="P2075" s="1"/>
      <c r="S2075" s="3"/>
      <c r="U2075" s="1"/>
    </row>
    <row r="2076" spans="15:21" x14ac:dyDescent="0.3">
      <c r="P2076" s="1"/>
      <c r="S2076" s="3"/>
      <c r="U2076" s="1"/>
    </row>
    <row r="2077" spans="15:21" x14ac:dyDescent="0.3">
      <c r="P2077" s="1"/>
      <c r="S2077" s="3"/>
      <c r="U2077" s="1"/>
    </row>
    <row r="2078" spans="15:21" x14ac:dyDescent="0.3">
      <c r="P2078" s="1"/>
      <c r="S2078" s="3"/>
      <c r="U2078" s="1"/>
    </row>
    <row r="2079" spans="15:21" x14ac:dyDescent="0.3">
      <c r="P2079" s="1"/>
      <c r="S2079" s="3"/>
      <c r="U2079" s="1"/>
    </row>
    <row r="2080" spans="15:21" x14ac:dyDescent="0.3">
      <c r="P2080" s="1"/>
      <c r="S2080" s="3"/>
      <c r="U2080" s="1"/>
    </row>
    <row r="2081" spans="16:21" x14ac:dyDescent="0.3">
      <c r="P2081" s="1"/>
      <c r="S2081" s="3"/>
      <c r="U2081" s="1"/>
    </row>
    <row r="2082" spans="16:21" x14ac:dyDescent="0.3">
      <c r="P2082" s="1"/>
      <c r="S2082" s="3"/>
      <c r="U2082" s="1"/>
    </row>
    <row r="2083" spans="16:21" x14ac:dyDescent="0.3">
      <c r="P2083" s="1"/>
      <c r="S2083" s="3"/>
      <c r="U2083" s="1"/>
    </row>
    <row r="2084" spans="16:21" x14ac:dyDescent="0.3">
      <c r="P2084" s="1"/>
      <c r="S2084" s="3"/>
      <c r="U2084" s="1"/>
    </row>
    <row r="2085" spans="16:21" x14ac:dyDescent="0.3">
      <c r="P2085" s="1"/>
      <c r="S2085" s="3"/>
      <c r="U2085" s="1"/>
    </row>
    <row r="2086" spans="16:21" x14ac:dyDescent="0.3">
      <c r="P2086" s="1"/>
      <c r="S2086" s="3"/>
      <c r="U2086" s="1"/>
    </row>
    <row r="2087" spans="16:21" x14ac:dyDescent="0.3">
      <c r="P2087" s="1"/>
      <c r="S2087" s="3"/>
      <c r="U2087" s="1"/>
    </row>
    <row r="2088" spans="16:21" x14ac:dyDescent="0.3">
      <c r="P2088" s="1"/>
      <c r="S2088" s="3"/>
      <c r="U2088" s="1"/>
    </row>
    <row r="2089" spans="16:21" x14ac:dyDescent="0.3">
      <c r="P2089" s="1"/>
      <c r="S2089" s="3"/>
      <c r="U2089" s="1"/>
    </row>
    <row r="2090" spans="16:21" x14ac:dyDescent="0.3">
      <c r="P2090" s="1"/>
      <c r="S2090" s="3"/>
      <c r="U2090" s="1"/>
    </row>
    <row r="2091" spans="16:21" x14ac:dyDescent="0.3">
      <c r="P2091" s="1"/>
      <c r="S2091" s="3"/>
      <c r="U2091" s="1"/>
    </row>
    <row r="2092" spans="16:21" x14ac:dyDescent="0.3">
      <c r="P2092" s="1"/>
      <c r="S2092" s="3"/>
      <c r="U2092" s="1"/>
    </row>
    <row r="2093" spans="16:21" x14ac:dyDescent="0.3">
      <c r="P2093" s="1"/>
      <c r="S2093" s="3"/>
      <c r="U2093" s="1"/>
    </row>
    <row r="2094" spans="16:21" x14ac:dyDescent="0.3">
      <c r="P2094" s="1"/>
      <c r="S2094" s="3"/>
      <c r="U2094" s="1"/>
    </row>
    <row r="2095" spans="16:21" x14ac:dyDescent="0.3">
      <c r="P2095" s="1"/>
      <c r="S2095" s="3"/>
      <c r="U2095" s="1"/>
    </row>
    <row r="2096" spans="16:21" x14ac:dyDescent="0.3">
      <c r="P2096" s="1"/>
      <c r="S2096" s="3"/>
      <c r="U2096" s="1"/>
    </row>
    <row r="2097" spans="16:21" x14ac:dyDescent="0.3">
      <c r="P2097" s="1"/>
      <c r="S2097" s="3"/>
      <c r="U2097" s="1"/>
    </row>
    <row r="2098" spans="16:21" x14ac:dyDescent="0.3">
      <c r="P2098" s="1"/>
      <c r="S2098" s="3"/>
      <c r="U2098" s="1"/>
    </row>
    <row r="2099" spans="16:21" x14ac:dyDescent="0.3">
      <c r="P2099" s="1"/>
      <c r="S2099" s="3"/>
      <c r="U2099" s="1"/>
    </row>
    <row r="2100" spans="16:21" x14ac:dyDescent="0.3">
      <c r="P2100" s="1"/>
      <c r="S2100" s="3"/>
      <c r="U2100" s="1"/>
    </row>
    <row r="2101" spans="16:21" x14ac:dyDescent="0.3">
      <c r="P2101" s="1"/>
      <c r="S2101" s="3"/>
      <c r="U2101" s="1"/>
    </row>
    <row r="2102" spans="16:21" x14ac:dyDescent="0.3">
      <c r="P2102" s="1"/>
      <c r="S2102" s="3"/>
      <c r="U2102" s="1"/>
    </row>
    <row r="2103" spans="16:21" x14ac:dyDescent="0.3">
      <c r="P2103" s="1"/>
      <c r="S2103" s="3"/>
      <c r="U2103" s="1"/>
    </row>
    <row r="2104" spans="16:21" x14ac:dyDescent="0.3">
      <c r="P2104" s="1"/>
      <c r="S2104" s="3"/>
      <c r="U2104" s="1"/>
    </row>
    <row r="2105" spans="16:21" x14ac:dyDescent="0.3">
      <c r="P2105" s="1"/>
      <c r="S2105" s="3"/>
      <c r="U2105" s="1"/>
    </row>
    <row r="2106" spans="16:21" x14ac:dyDescent="0.3">
      <c r="P2106" s="1"/>
      <c r="S2106" s="3"/>
      <c r="U2106" s="1"/>
    </row>
    <row r="2107" spans="16:21" x14ac:dyDescent="0.3">
      <c r="P2107" s="1"/>
      <c r="S2107" s="3"/>
      <c r="U2107" s="1"/>
    </row>
    <row r="2108" spans="16:21" x14ac:dyDescent="0.3">
      <c r="P2108" s="1"/>
      <c r="S2108" s="3"/>
      <c r="U2108" s="1"/>
    </row>
    <row r="2109" spans="16:21" x14ac:dyDescent="0.3">
      <c r="P2109" s="1"/>
      <c r="S2109" s="3"/>
      <c r="U2109" s="1"/>
    </row>
    <row r="2110" spans="16:21" x14ac:dyDescent="0.3">
      <c r="P2110" s="1"/>
      <c r="S2110" s="3"/>
      <c r="U2110" s="1"/>
    </row>
    <row r="2111" spans="16:21" x14ac:dyDescent="0.3">
      <c r="P2111" s="1"/>
      <c r="S2111" s="3"/>
      <c r="U2111" s="1"/>
    </row>
    <row r="2112" spans="16:21" x14ac:dyDescent="0.3">
      <c r="P2112" s="1"/>
      <c r="S2112" s="3"/>
      <c r="U2112" s="1"/>
    </row>
    <row r="2113" spans="16:21" x14ac:dyDescent="0.3">
      <c r="P2113" s="1"/>
      <c r="S2113" s="3"/>
      <c r="U2113" s="1"/>
    </row>
    <row r="2114" spans="16:21" x14ac:dyDescent="0.3">
      <c r="P2114" s="1"/>
      <c r="S2114" s="3"/>
      <c r="U2114" s="1"/>
    </row>
    <row r="2115" spans="16:21" x14ac:dyDescent="0.3">
      <c r="P2115" s="1"/>
      <c r="S2115" s="3"/>
      <c r="U2115" s="1"/>
    </row>
    <row r="2116" spans="16:21" x14ac:dyDescent="0.3">
      <c r="P2116" s="1"/>
      <c r="S2116" s="3"/>
      <c r="U2116" s="1"/>
    </row>
    <row r="2117" spans="16:21" x14ac:dyDescent="0.3">
      <c r="P2117" s="1"/>
      <c r="S2117" s="3"/>
      <c r="U2117" s="1"/>
    </row>
    <row r="2118" spans="16:21" x14ac:dyDescent="0.3">
      <c r="P2118" s="1"/>
      <c r="S2118" s="3"/>
      <c r="U2118" s="1"/>
    </row>
    <row r="2119" spans="16:21" x14ac:dyDescent="0.3">
      <c r="P2119" s="1"/>
      <c r="S2119" s="3"/>
      <c r="U2119" s="1"/>
    </row>
    <row r="2120" spans="16:21" x14ac:dyDescent="0.3">
      <c r="P2120" s="1"/>
      <c r="S2120" s="3"/>
      <c r="U2120" s="1"/>
    </row>
    <row r="2121" spans="16:21" x14ac:dyDescent="0.3">
      <c r="P2121" s="1"/>
      <c r="S2121" s="3"/>
      <c r="U2121" s="1"/>
    </row>
    <row r="2122" spans="16:21" x14ac:dyDescent="0.3">
      <c r="P2122" s="1"/>
      <c r="S2122" s="3"/>
      <c r="U2122" s="1"/>
    </row>
    <row r="2123" spans="16:21" x14ac:dyDescent="0.3">
      <c r="P2123" s="1"/>
      <c r="S2123" s="3"/>
      <c r="U2123" s="1"/>
    </row>
    <row r="2124" spans="16:21" x14ac:dyDescent="0.3">
      <c r="P2124" s="1"/>
      <c r="S2124" s="3"/>
      <c r="U2124" s="1"/>
    </row>
    <row r="2125" spans="16:21" x14ac:dyDescent="0.3">
      <c r="P2125" s="1"/>
      <c r="S2125" s="3"/>
      <c r="U2125" s="1"/>
    </row>
    <row r="2126" spans="16:21" x14ac:dyDescent="0.3">
      <c r="P2126" s="1"/>
      <c r="S2126" s="3"/>
      <c r="U2126" s="1"/>
    </row>
    <row r="2127" spans="16:21" x14ac:dyDescent="0.3">
      <c r="P2127" s="1"/>
      <c r="S2127" s="3"/>
      <c r="U2127" s="1"/>
    </row>
    <row r="2128" spans="16:21" x14ac:dyDescent="0.3">
      <c r="P2128" s="1"/>
      <c r="S2128" s="3"/>
      <c r="U2128" s="1"/>
    </row>
    <row r="2129" spans="16:21" x14ac:dyDescent="0.3">
      <c r="P2129" s="1"/>
      <c r="S2129" s="3"/>
      <c r="U2129" s="1"/>
    </row>
    <row r="2130" spans="16:21" x14ac:dyDescent="0.3">
      <c r="P2130" s="1"/>
      <c r="S2130" s="3"/>
      <c r="U2130" s="1"/>
    </row>
    <row r="2131" spans="16:21" x14ac:dyDescent="0.3">
      <c r="P2131" s="1"/>
      <c r="S2131" s="3"/>
      <c r="U2131" s="1"/>
    </row>
    <row r="2132" spans="16:21" x14ac:dyDescent="0.3">
      <c r="P2132" s="1"/>
      <c r="S2132" s="3"/>
      <c r="U2132" s="1"/>
    </row>
    <row r="2133" spans="16:21" x14ac:dyDescent="0.3">
      <c r="P2133" s="1"/>
      <c r="S2133" s="3"/>
      <c r="U2133" s="1"/>
    </row>
    <row r="2134" spans="16:21" x14ac:dyDescent="0.3">
      <c r="P2134" s="1"/>
      <c r="S2134" s="3"/>
      <c r="U2134" s="1"/>
    </row>
    <row r="2135" spans="16:21" x14ac:dyDescent="0.3">
      <c r="P2135" s="1"/>
      <c r="S2135" s="3"/>
      <c r="U2135" s="1"/>
    </row>
    <row r="2136" spans="16:21" x14ac:dyDescent="0.3">
      <c r="P2136" s="1"/>
      <c r="S2136" s="3"/>
      <c r="U2136" s="1"/>
    </row>
    <row r="2137" spans="16:21" x14ac:dyDescent="0.3">
      <c r="P2137" s="1"/>
      <c r="S2137" s="3"/>
      <c r="U2137" s="1"/>
    </row>
    <row r="2138" spans="16:21" x14ac:dyDescent="0.3">
      <c r="P2138" s="1"/>
      <c r="S2138" s="3"/>
      <c r="U2138" s="1"/>
    </row>
    <row r="2139" spans="16:21" x14ac:dyDescent="0.3">
      <c r="P2139" s="1"/>
      <c r="S2139" s="3"/>
      <c r="U2139" s="1"/>
    </row>
    <row r="2140" spans="16:21" x14ac:dyDescent="0.3">
      <c r="P2140" s="1"/>
      <c r="S2140" s="3"/>
      <c r="U2140" s="1"/>
    </row>
    <row r="2141" spans="16:21" x14ac:dyDescent="0.3">
      <c r="P2141" s="1"/>
      <c r="S2141" s="3"/>
      <c r="U2141" s="1"/>
    </row>
    <row r="2142" spans="16:21" x14ac:dyDescent="0.3">
      <c r="P2142" s="1"/>
      <c r="S2142" s="3"/>
      <c r="U2142" s="1"/>
    </row>
    <row r="2143" spans="16:21" x14ac:dyDescent="0.3">
      <c r="P2143" s="1"/>
      <c r="S2143" s="3"/>
      <c r="U2143" s="1"/>
    </row>
    <row r="2144" spans="16:21" x14ac:dyDescent="0.3">
      <c r="P2144" s="1"/>
      <c r="S2144" s="3"/>
      <c r="U2144" s="1"/>
    </row>
    <row r="2145" spans="16:21" x14ac:dyDescent="0.3">
      <c r="P2145" s="1"/>
      <c r="S2145" s="3"/>
      <c r="U2145" s="1"/>
    </row>
    <row r="2146" spans="16:21" x14ac:dyDescent="0.3">
      <c r="P2146" s="1"/>
      <c r="S2146" s="3"/>
      <c r="U2146" s="1"/>
    </row>
    <row r="2147" spans="16:21" x14ac:dyDescent="0.3">
      <c r="P2147" s="1"/>
      <c r="S2147" s="3"/>
      <c r="U2147" s="1"/>
    </row>
    <row r="2148" spans="16:21" x14ac:dyDescent="0.3">
      <c r="P2148" s="1"/>
      <c r="S2148" s="3"/>
      <c r="U2148" s="1"/>
    </row>
    <row r="2149" spans="16:21" x14ac:dyDescent="0.3">
      <c r="P2149" s="1"/>
      <c r="S2149" s="3"/>
      <c r="U2149" s="1"/>
    </row>
    <row r="2150" spans="16:21" x14ac:dyDescent="0.3">
      <c r="P2150" s="1"/>
      <c r="S2150" s="3"/>
      <c r="U2150" s="1"/>
    </row>
    <row r="2151" spans="16:21" x14ac:dyDescent="0.3">
      <c r="P2151" s="1"/>
      <c r="S2151" s="3"/>
      <c r="U2151" s="1"/>
    </row>
    <row r="2152" spans="16:21" x14ac:dyDescent="0.3">
      <c r="P2152" s="1"/>
      <c r="S2152" s="3"/>
      <c r="U2152" s="1"/>
    </row>
    <row r="2153" spans="16:21" x14ac:dyDescent="0.3">
      <c r="P2153" s="1"/>
      <c r="S2153" s="3"/>
      <c r="U2153" s="1"/>
    </row>
    <row r="2154" spans="16:21" x14ac:dyDescent="0.3">
      <c r="P2154" s="1"/>
      <c r="S2154" s="3"/>
      <c r="U2154" s="1"/>
    </row>
    <row r="2155" spans="16:21" x14ac:dyDescent="0.3">
      <c r="P2155" s="1"/>
      <c r="S2155" s="3"/>
      <c r="U2155" s="1"/>
    </row>
    <row r="2156" spans="16:21" x14ac:dyDescent="0.3">
      <c r="P2156" s="1"/>
      <c r="S2156" s="3"/>
      <c r="U2156" s="1"/>
    </row>
    <row r="2157" spans="16:21" x14ac:dyDescent="0.3">
      <c r="P2157" s="1"/>
      <c r="S2157" s="3"/>
      <c r="U2157" s="1"/>
    </row>
    <row r="2158" spans="16:21" x14ac:dyDescent="0.3">
      <c r="P2158" s="1"/>
      <c r="S2158" s="3"/>
      <c r="U2158" s="1"/>
    </row>
    <row r="2159" spans="16:21" x14ac:dyDescent="0.3">
      <c r="P2159" s="1"/>
      <c r="S2159" s="3"/>
      <c r="U2159" s="1"/>
    </row>
    <row r="2160" spans="16:21" x14ac:dyDescent="0.3">
      <c r="P2160" s="1"/>
      <c r="S2160" s="3"/>
      <c r="U2160" s="1"/>
    </row>
    <row r="2161" spans="16:21" x14ac:dyDescent="0.3">
      <c r="P2161" s="1"/>
      <c r="S2161" s="3"/>
      <c r="U2161" s="1"/>
    </row>
    <row r="2162" spans="16:21" x14ac:dyDescent="0.3">
      <c r="P2162" s="1"/>
      <c r="S2162" s="3"/>
      <c r="U2162" s="1"/>
    </row>
    <row r="2163" spans="16:21" x14ac:dyDescent="0.3">
      <c r="P2163" s="1"/>
      <c r="S2163" s="3"/>
      <c r="U2163" s="1"/>
    </row>
    <row r="2164" spans="16:21" x14ac:dyDescent="0.3">
      <c r="P2164" s="1"/>
      <c r="S2164" s="3"/>
      <c r="U2164" s="1"/>
    </row>
    <row r="2165" spans="16:21" x14ac:dyDescent="0.3">
      <c r="P2165" s="1"/>
      <c r="S2165" s="3"/>
      <c r="U2165" s="1"/>
    </row>
    <row r="2166" spans="16:21" x14ac:dyDescent="0.3">
      <c r="P2166" s="1"/>
      <c r="S2166" s="3"/>
      <c r="U2166" s="1"/>
    </row>
    <row r="2167" spans="16:21" x14ac:dyDescent="0.3">
      <c r="P2167" s="1"/>
      <c r="S2167" s="3"/>
      <c r="U2167" s="1"/>
    </row>
    <row r="2168" spans="16:21" x14ac:dyDescent="0.3">
      <c r="P2168" s="1"/>
      <c r="S2168" s="3"/>
      <c r="U2168" s="1"/>
    </row>
    <row r="2169" spans="16:21" x14ac:dyDescent="0.3">
      <c r="P2169" s="1"/>
      <c r="S2169" s="3"/>
      <c r="U2169" s="1"/>
    </row>
    <row r="2170" spans="16:21" x14ac:dyDescent="0.3">
      <c r="P2170" s="1"/>
      <c r="S2170" s="3"/>
      <c r="U2170" s="1"/>
    </row>
    <row r="2171" spans="16:21" x14ac:dyDescent="0.3">
      <c r="P2171" s="1"/>
      <c r="S2171" s="3"/>
      <c r="U2171" s="1"/>
    </row>
    <row r="2172" spans="16:21" x14ac:dyDescent="0.3">
      <c r="P2172" s="1"/>
      <c r="S2172" s="3"/>
      <c r="U2172" s="1"/>
    </row>
    <row r="2173" spans="16:21" x14ac:dyDescent="0.3">
      <c r="P2173" s="1"/>
      <c r="S2173" s="3"/>
      <c r="U2173" s="1"/>
    </row>
    <row r="2174" spans="16:21" x14ac:dyDescent="0.3">
      <c r="P2174" s="1"/>
      <c r="S2174" s="3"/>
      <c r="U2174" s="1"/>
    </row>
    <row r="2175" spans="16:21" x14ac:dyDescent="0.3">
      <c r="P2175" s="1"/>
      <c r="S2175" s="3"/>
      <c r="U2175" s="1"/>
    </row>
    <row r="2176" spans="16:21" x14ac:dyDescent="0.3">
      <c r="P2176" s="1"/>
      <c r="S2176" s="3"/>
      <c r="U2176" s="1"/>
    </row>
    <row r="2177" spans="16:21" x14ac:dyDescent="0.3">
      <c r="P2177" s="1"/>
      <c r="S2177" s="3"/>
      <c r="U2177" s="1"/>
    </row>
    <row r="2178" spans="16:21" x14ac:dyDescent="0.3">
      <c r="P2178" s="1"/>
      <c r="S2178" s="3"/>
      <c r="U2178" s="1"/>
    </row>
    <row r="2179" spans="16:21" x14ac:dyDescent="0.3">
      <c r="P2179" s="1"/>
      <c r="S2179" s="3"/>
      <c r="U2179" s="1"/>
    </row>
    <row r="2180" spans="16:21" x14ac:dyDescent="0.3">
      <c r="P2180" s="1"/>
      <c r="S2180" s="3"/>
      <c r="U2180" s="1"/>
    </row>
    <row r="2181" spans="16:21" x14ac:dyDescent="0.3">
      <c r="P2181" s="1"/>
      <c r="S2181" s="3"/>
      <c r="U2181" s="1"/>
    </row>
    <row r="2182" spans="16:21" x14ac:dyDescent="0.3">
      <c r="P2182" s="1"/>
      <c r="S2182" s="3"/>
      <c r="U2182" s="1"/>
    </row>
    <row r="2183" spans="16:21" x14ac:dyDescent="0.3">
      <c r="P2183" s="1"/>
      <c r="S2183" s="3"/>
      <c r="U2183" s="1"/>
    </row>
    <row r="2184" spans="16:21" x14ac:dyDescent="0.3">
      <c r="P2184" s="1"/>
      <c r="S2184" s="3"/>
      <c r="U2184" s="1"/>
    </row>
    <row r="2185" spans="16:21" x14ac:dyDescent="0.3">
      <c r="P2185" s="1"/>
      <c r="S2185" s="3"/>
      <c r="U2185" s="1"/>
    </row>
    <row r="2186" spans="16:21" x14ac:dyDescent="0.3">
      <c r="P2186" s="1"/>
      <c r="S2186" s="3"/>
      <c r="U2186" s="1"/>
    </row>
    <row r="2187" spans="16:21" x14ac:dyDescent="0.3">
      <c r="P2187" s="1"/>
      <c r="S2187" s="3"/>
      <c r="U2187" s="1"/>
    </row>
    <row r="2188" spans="16:21" x14ac:dyDescent="0.3">
      <c r="P2188" s="1"/>
      <c r="S2188" s="3"/>
      <c r="U2188" s="1"/>
    </row>
    <row r="2189" spans="16:21" x14ac:dyDescent="0.3">
      <c r="P2189" s="1"/>
      <c r="S2189" s="3"/>
      <c r="U2189" s="1"/>
    </row>
    <row r="2190" spans="16:21" x14ac:dyDescent="0.3">
      <c r="P2190" s="1"/>
      <c r="S2190" s="3"/>
      <c r="U2190" s="1"/>
    </row>
    <row r="2191" spans="16:21" x14ac:dyDescent="0.3">
      <c r="P2191" s="1"/>
      <c r="S2191" s="3"/>
      <c r="U2191" s="1"/>
    </row>
    <row r="2192" spans="16:21" x14ac:dyDescent="0.3">
      <c r="P2192" s="1"/>
      <c r="S2192" s="3"/>
      <c r="U2192" s="1"/>
    </row>
    <row r="2193" spans="16:21" x14ac:dyDescent="0.3">
      <c r="P2193" s="1"/>
      <c r="S2193" s="3"/>
      <c r="U2193" s="1"/>
    </row>
    <row r="2194" spans="16:21" x14ac:dyDescent="0.3">
      <c r="P2194" s="1"/>
      <c r="S2194" s="3"/>
      <c r="U2194" s="1"/>
    </row>
    <row r="2195" spans="16:21" x14ac:dyDescent="0.3">
      <c r="P2195" s="1"/>
      <c r="S2195" s="3"/>
      <c r="U2195" s="1"/>
    </row>
    <row r="2196" spans="16:21" x14ac:dyDescent="0.3">
      <c r="P2196" s="1"/>
      <c r="S2196" s="3"/>
      <c r="U2196" s="1"/>
    </row>
    <row r="2197" spans="16:21" x14ac:dyDescent="0.3">
      <c r="P2197" s="1"/>
      <c r="S2197" s="3"/>
      <c r="U2197" s="1"/>
    </row>
    <row r="2198" spans="16:21" x14ac:dyDescent="0.3">
      <c r="P2198" s="1"/>
      <c r="S2198" s="3"/>
      <c r="U2198" s="1"/>
    </row>
    <row r="2199" spans="16:21" x14ac:dyDescent="0.3">
      <c r="P2199" s="1"/>
      <c r="S2199" s="3"/>
      <c r="U2199" s="1"/>
    </row>
    <row r="2200" spans="16:21" x14ac:dyDescent="0.3">
      <c r="P2200" s="1"/>
      <c r="S2200" s="3"/>
      <c r="U2200" s="1"/>
    </row>
    <row r="2201" spans="16:21" x14ac:dyDescent="0.3">
      <c r="P2201" s="1"/>
      <c r="S2201" s="3"/>
      <c r="U2201" s="1"/>
    </row>
    <row r="2202" spans="16:21" x14ac:dyDescent="0.3">
      <c r="P2202" s="1"/>
      <c r="S2202" s="3"/>
      <c r="U2202" s="1"/>
    </row>
    <row r="2203" spans="16:21" x14ac:dyDescent="0.3">
      <c r="P2203" s="1"/>
      <c r="S2203" s="3"/>
      <c r="U2203" s="1"/>
    </row>
    <row r="2204" spans="16:21" x14ac:dyDescent="0.3">
      <c r="P2204" s="1"/>
      <c r="S2204" s="3"/>
      <c r="U2204" s="1"/>
    </row>
    <row r="2205" spans="16:21" x14ac:dyDescent="0.3">
      <c r="P2205" s="1"/>
      <c r="S2205" s="3"/>
      <c r="U2205" s="1"/>
    </row>
    <row r="2206" spans="16:21" x14ac:dyDescent="0.3">
      <c r="P2206" s="1"/>
      <c r="S2206" s="3"/>
      <c r="U2206" s="1"/>
    </row>
    <row r="2207" spans="16:21" x14ac:dyDescent="0.3">
      <c r="P2207" s="1"/>
      <c r="S2207" s="3"/>
      <c r="U2207" s="1"/>
    </row>
    <row r="2208" spans="16:21" x14ac:dyDescent="0.3">
      <c r="P2208" s="1"/>
      <c r="S2208" s="3"/>
      <c r="U2208" s="1"/>
    </row>
    <row r="2209" spans="16:21" x14ac:dyDescent="0.3">
      <c r="P2209" s="1"/>
      <c r="S2209" s="3"/>
      <c r="U2209" s="1"/>
    </row>
    <row r="2210" spans="16:21" x14ac:dyDescent="0.3">
      <c r="P2210" s="1"/>
      <c r="S2210" s="3"/>
      <c r="U2210" s="1"/>
    </row>
    <row r="2211" spans="16:21" x14ac:dyDescent="0.3">
      <c r="P2211" s="1"/>
      <c r="S2211" s="3"/>
      <c r="U2211" s="1"/>
    </row>
    <row r="2212" spans="16:21" x14ac:dyDescent="0.3">
      <c r="P2212" s="1"/>
      <c r="S2212" s="3"/>
      <c r="U2212" s="1"/>
    </row>
    <row r="2213" spans="16:21" x14ac:dyDescent="0.3">
      <c r="P2213" s="1"/>
      <c r="S2213" s="3"/>
      <c r="U2213" s="1"/>
    </row>
    <row r="2214" spans="16:21" x14ac:dyDescent="0.3">
      <c r="P2214" s="1"/>
      <c r="S2214" s="3"/>
      <c r="U2214" s="1"/>
    </row>
    <row r="2215" spans="16:21" x14ac:dyDescent="0.3">
      <c r="P2215" s="1"/>
      <c r="S2215" s="3"/>
      <c r="U2215" s="1"/>
    </row>
    <row r="2216" spans="16:21" x14ac:dyDescent="0.3">
      <c r="P2216" s="1"/>
      <c r="S2216" s="3"/>
      <c r="U2216" s="1"/>
    </row>
    <row r="2217" spans="16:21" x14ac:dyDescent="0.3">
      <c r="P2217" s="1"/>
      <c r="S2217" s="3"/>
      <c r="U2217" s="1"/>
    </row>
    <row r="2218" spans="16:21" x14ac:dyDescent="0.3">
      <c r="P2218" s="1"/>
      <c r="S2218" s="3"/>
      <c r="U2218" s="1"/>
    </row>
    <row r="2219" spans="16:21" x14ac:dyDescent="0.3">
      <c r="P2219" s="1"/>
      <c r="S2219" s="3"/>
      <c r="U2219" s="1"/>
    </row>
    <row r="2220" spans="16:21" x14ac:dyDescent="0.3">
      <c r="P2220" s="1"/>
      <c r="S2220" s="3"/>
      <c r="U2220" s="1"/>
    </row>
    <row r="2221" spans="16:21" x14ac:dyDescent="0.3">
      <c r="P2221" s="1"/>
      <c r="S2221" s="3"/>
      <c r="U2221" s="1"/>
    </row>
    <row r="2222" spans="16:21" x14ac:dyDescent="0.3">
      <c r="P2222" s="1"/>
      <c r="S2222" s="3"/>
      <c r="U2222" s="1"/>
    </row>
    <row r="2223" spans="16:21" x14ac:dyDescent="0.3">
      <c r="P2223" s="1"/>
      <c r="S2223" s="3"/>
      <c r="U2223" s="1"/>
    </row>
    <row r="2224" spans="16:21" x14ac:dyDescent="0.3">
      <c r="P2224" s="1"/>
      <c r="S2224" s="3"/>
      <c r="U2224" s="1"/>
    </row>
    <row r="2225" spans="16:21" x14ac:dyDescent="0.3">
      <c r="P2225" s="1"/>
      <c r="S2225" s="3"/>
      <c r="U2225" s="1"/>
    </row>
    <row r="2226" spans="16:21" x14ac:dyDescent="0.3">
      <c r="P2226" s="1"/>
      <c r="S2226" s="3"/>
      <c r="U2226" s="1"/>
    </row>
    <row r="2227" spans="16:21" x14ac:dyDescent="0.3">
      <c r="P2227" s="1"/>
      <c r="S2227" s="3"/>
      <c r="U2227" s="1"/>
    </row>
    <row r="2228" spans="16:21" x14ac:dyDescent="0.3">
      <c r="P2228" s="1"/>
      <c r="S2228" s="3"/>
      <c r="U2228" s="1"/>
    </row>
    <row r="2229" spans="16:21" x14ac:dyDescent="0.3">
      <c r="P2229" s="1"/>
      <c r="S2229" s="3"/>
      <c r="U2229" s="1"/>
    </row>
    <row r="2230" spans="16:21" x14ac:dyDescent="0.3">
      <c r="P2230" s="1"/>
      <c r="S2230" s="3"/>
      <c r="U2230" s="1"/>
    </row>
    <row r="2231" spans="16:21" x14ac:dyDescent="0.3">
      <c r="P2231" s="1"/>
      <c r="S2231" s="3"/>
      <c r="U2231" s="1"/>
    </row>
    <row r="2232" spans="16:21" x14ac:dyDescent="0.3">
      <c r="P2232" s="1"/>
      <c r="S2232" s="3"/>
      <c r="U2232" s="1"/>
    </row>
    <row r="2233" spans="16:21" x14ac:dyDescent="0.3">
      <c r="P2233" s="1"/>
      <c r="S2233" s="3"/>
      <c r="U2233" s="1"/>
    </row>
    <row r="2234" spans="16:21" x14ac:dyDescent="0.3">
      <c r="P2234" s="1"/>
      <c r="S2234" s="3"/>
      <c r="U2234" s="1"/>
    </row>
    <row r="2235" spans="16:21" x14ac:dyDescent="0.3">
      <c r="P2235" s="1"/>
      <c r="S2235" s="3"/>
      <c r="U2235" s="1"/>
    </row>
    <row r="2236" spans="16:21" x14ac:dyDescent="0.3">
      <c r="P2236" s="1"/>
      <c r="S2236" s="3"/>
      <c r="U2236" s="1"/>
    </row>
    <row r="2237" spans="16:21" x14ac:dyDescent="0.3">
      <c r="P2237" s="1"/>
      <c r="S2237" s="3"/>
      <c r="U2237" s="1"/>
    </row>
    <row r="2238" spans="16:21" x14ac:dyDescent="0.3">
      <c r="P2238" s="1"/>
      <c r="S2238" s="3"/>
      <c r="U2238" s="1"/>
    </row>
    <row r="2239" spans="16:21" x14ac:dyDescent="0.3">
      <c r="P2239" s="1"/>
      <c r="S2239" s="3"/>
      <c r="U2239" s="1"/>
    </row>
    <row r="2240" spans="16:21" x14ac:dyDescent="0.3">
      <c r="P2240" s="1"/>
      <c r="S2240" s="3"/>
      <c r="U2240" s="1"/>
    </row>
    <row r="2241" spans="16:21" x14ac:dyDescent="0.3">
      <c r="P2241" s="1"/>
      <c r="S2241" s="3"/>
      <c r="U2241" s="1"/>
    </row>
    <row r="2242" spans="16:21" x14ac:dyDescent="0.3">
      <c r="P2242" s="1"/>
      <c r="S2242" s="3"/>
      <c r="U2242" s="1"/>
    </row>
    <row r="2243" spans="16:21" x14ac:dyDescent="0.3">
      <c r="P2243" s="1"/>
      <c r="S2243" s="3"/>
      <c r="U2243" s="1"/>
    </row>
    <row r="2244" spans="16:21" x14ac:dyDescent="0.3">
      <c r="P2244" s="1"/>
      <c r="S2244" s="3"/>
      <c r="U2244" s="1"/>
    </row>
    <row r="2245" spans="16:21" x14ac:dyDescent="0.3">
      <c r="P2245" s="1"/>
      <c r="S2245" s="3"/>
      <c r="U2245" s="1"/>
    </row>
    <row r="2246" spans="16:21" x14ac:dyDescent="0.3">
      <c r="P2246" s="1"/>
      <c r="S2246" s="3"/>
      <c r="U2246" s="1"/>
    </row>
    <row r="2247" spans="16:21" x14ac:dyDescent="0.3">
      <c r="P2247" s="1"/>
      <c r="S2247" s="3"/>
      <c r="U2247" s="1"/>
    </row>
    <row r="2248" spans="16:21" x14ac:dyDescent="0.3">
      <c r="P2248" s="1"/>
      <c r="S2248" s="3"/>
      <c r="U2248" s="1"/>
    </row>
    <row r="2249" spans="16:21" x14ac:dyDescent="0.3">
      <c r="P2249" s="1"/>
      <c r="S2249" s="3"/>
      <c r="U2249" s="1"/>
    </row>
    <row r="2250" spans="16:21" x14ac:dyDescent="0.3">
      <c r="P2250" s="1"/>
      <c r="S2250" s="3"/>
      <c r="U2250" s="1"/>
    </row>
    <row r="2251" spans="16:21" x14ac:dyDescent="0.3">
      <c r="P2251" s="1"/>
      <c r="S2251" s="3"/>
      <c r="U2251" s="1"/>
    </row>
    <row r="2252" spans="16:21" x14ac:dyDescent="0.3">
      <c r="P2252" s="1"/>
      <c r="S2252" s="3"/>
      <c r="U2252" s="1"/>
    </row>
    <row r="2253" spans="16:21" x14ac:dyDescent="0.3">
      <c r="P2253" s="1"/>
      <c r="S2253" s="3"/>
      <c r="U2253" s="1"/>
    </row>
    <row r="2254" spans="16:21" x14ac:dyDescent="0.3">
      <c r="P2254" s="1"/>
      <c r="S2254" s="3"/>
      <c r="U2254" s="1"/>
    </row>
    <row r="2255" spans="16:21" x14ac:dyDescent="0.3">
      <c r="P2255" s="1"/>
      <c r="S2255" s="3"/>
      <c r="U2255" s="1"/>
    </row>
    <row r="2256" spans="16:21" x14ac:dyDescent="0.3">
      <c r="P2256" s="1"/>
      <c r="S2256" s="3"/>
      <c r="U2256" s="1"/>
    </row>
    <row r="2257" spans="16:21" x14ac:dyDescent="0.3">
      <c r="P2257" s="1"/>
      <c r="S2257" s="3"/>
      <c r="U2257" s="1"/>
    </row>
    <row r="2258" spans="16:21" x14ac:dyDescent="0.3">
      <c r="P2258" s="1"/>
      <c r="S2258" s="3"/>
      <c r="U2258" s="1"/>
    </row>
    <row r="2259" spans="16:21" x14ac:dyDescent="0.3">
      <c r="P2259" s="1"/>
      <c r="S2259" s="3"/>
      <c r="U2259" s="1"/>
    </row>
    <row r="2260" spans="16:21" x14ac:dyDescent="0.3">
      <c r="P2260" s="1"/>
      <c r="S2260" s="3"/>
      <c r="U2260" s="1"/>
    </row>
    <row r="2261" spans="16:21" x14ac:dyDescent="0.3">
      <c r="P2261" s="1"/>
      <c r="S2261" s="3"/>
      <c r="U2261" s="1"/>
    </row>
    <row r="2262" spans="16:21" x14ac:dyDescent="0.3">
      <c r="P2262" s="1"/>
      <c r="S2262" s="3"/>
      <c r="U2262" s="1"/>
    </row>
    <row r="2263" spans="16:21" x14ac:dyDescent="0.3">
      <c r="P2263" s="1"/>
      <c r="S2263" s="3"/>
      <c r="U2263" s="1"/>
    </row>
    <row r="2264" spans="16:21" x14ac:dyDescent="0.3">
      <c r="P2264" s="1"/>
      <c r="S2264" s="3"/>
      <c r="U2264" s="1"/>
    </row>
    <row r="2265" spans="16:21" x14ac:dyDescent="0.3">
      <c r="P2265" s="1"/>
      <c r="S2265" s="3"/>
      <c r="U2265" s="1"/>
    </row>
    <row r="2266" spans="16:21" x14ac:dyDescent="0.3">
      <c r="P2266" s="1"/>
      <c r="S2266" s="3"/>
      <c r="U2266" s="1"/>
    </row>
    <row r="2267" spans="16:21" x14ac:dyDescent="0.3">
      <c r="P2267" s="1"/>
      <c r="S2267" s="3"/>
      <c r="U2267" s="1"/>
    </row>
    <row r="2268" spans="16:21" x14ac:dyDescent="0.3">
      <c r="P2268" s="1"/>
      <c r="S2268" s="3"/>
      <c r="U2268" s="1"/>
    </row>
    <row r="2269" spans="16:21" x14ac:dyDescent="0.3">
      <c r="P2269" s="1"/>
      <c r="S2269" s="3"/>
      <c r="U2269" s="1"/>
    </row>
    <row r="2270" spans="16:21" x14ac:dyDescent="0.3">
      <c r="P2270" s="1"/>
      <c r="S2270" s="3"/>
      <c r="U2270" s="1"/>
    </row>
    <row r="2271" spans="16:21" x14ac:dyDescent="0.3">
      <c r="P2271" s="1"/>
      <c r="S2271" s="3"/>
      <c r="U2271" s="1"/>
    </row>
    <row r="2272" spans="16:21" x14ac:dyDescent="0.3">
      <c r="P2272" s="1"/>
      <c r="S2272" s="3"/>
      <c r="U2272" s="1"/>
    </row>
    <row r="2273" spans="16:21" x14ac:dyDescent="0.3">
      <c r="P2273" s="1"/>
      <c r="S2273" s="3"/>
      <c r="U2273" s="1"/>
    </row>
    <row r="2274" spans="16:21" x14ac:dyDescent="0.3">
      <c r="P2274" s="1"/>
      <c r="S2274" s="3"/>
      <c r="U2274" s="1"/>
    </row>
    <row r="2275" spans="16:21" x14ac:dyDescent="0.3">
      <c r="P2275" s="1"/>
      <c r="S2275" s="3"/>
      <c r="U2275" s="1"/>
    </row>
    <row r="2276" spans="16:21" x14ac:dyDescent="0.3">
      <c r="P2276" s="1"/>
      <c r="S2276" s="3"/>
      <c r="U2276" s="1"/>
    </row>
    <row r="2277" spans="16:21" x14ac:dyDescent="0.3">
      <c r="P2277" s="1"/>
      <c r="S2277" s="3"/>
      <c r="U2277" s="1"/>
    </row>
    <row r="2278" spans="16:21" x14ac:dyDescent="0.3">
      <c r="P2278" s="1"/>
      <c r="S2278" s="3"/>
      <c r="U2278" s="1"/>
    </row>
    <row r="2279" spans="16:21" x14ac:dyDescent="0.3">
      <c r="P2279" s="1"/>
      <c r="S2279" s="3"/>
      <c r="U2279" s="1"/>
    </row>
    <row r="2280" spans="16:21" x14ac:dyDescent="0.3">
      <c r="P2280" s="1"/>
      <c r="S2280" s="3"/>
      <c r="U2280" s="1"/>
    </row>
    <row r="2281" spans="16:21" x14ac:dyDescent="0.3">
      <c r="P2281" s="1"/>
      <c r="S2281" s="3"/>
      <c r="U2281" s="1"/>
    </row>
    <row r="2282" spans="16:21" x14ac:dyDescent="0.3">
      <c r="P2282" s="1"/>
      <c r="S2282" s="3"/>
      <c r="U2282" s="1"/>
    </row>
    <row r="2283" spans="16:21" x14ac:dyDescent="0.3">
      <c r="P2283" s="1"/>
      <c r="S2283" s="3"/>
      <c r="U2283" s="1"/>
    </row>
    <row r="2284" spans="16:21" x14ac:dyDescent="0.3">
      <c r="P2284" s="1"/>
      <c r="S2284" s="3"/>
      <c r="U2284" s="1"/>
    </row>
    <row r="2285" spans="16:21" x14ac:dyDescent="0.3">
      <c r="P2285" s="1"/>
      <c r="S2285" s="3"/>
      <c r="U2285" s="1"/>
    </row>
    <row r="2286" spans="16:21" x14ac:dyDescent="0.3">
      <c r="P2286" s="1"/>
      <c r="S2286" s="3"/>
      <c r="U2286" s="1"/>
    </row>
    <row r="2287" spans="16:21" x14ac:dyDescent="0.3">
      <c r="P2287" s="1"/>
      <c r="S2287" s="3"/>
      <c r="U2287" s="1"/>
    </row>
    <row r="2288" spans="16:21" x14ac:dyDescent="0.3">
      <c r="P2288" s="1"/>
      <c r="S2288" s="3"/>
      <c r="U2288" s="1"/>
    </row>
    <row r="2289" spans="16:21" x14ac:dyDescent="0.3">
      <c r="P2289" s="1"/>
      <c r="S2289" s="3"/>
      <c r="U2289" s="1"/>
    </row>
    <row r="2290" spans="16:21" x14ac:dyDescent="0.3">
      <c r="P2290" s="1"/>
      <c r="S2290" s="3"/>
      <c r="U2290" s="1"/>
    </row>
    <row r="2291" spans="16:21" x14ac:dyDescent="0.3">
      <c r="P2291" s="1"/>
      <c r="S2291" s="3"/>
      <c r="U2291" s="1"/>
    </row>
    <row r="2292" spans="16:21" x14ac:dyDescent="0.3">
      <c r="P2292" s="1"/>
      <c r="S2292" s="3"/>
      <c r="U2292" s="1"/>
    </row>
    <row r="2293" spans="16:21" x14ac:dyDescent="0.3">
      <c r="P2293" s="1"/>
      <c r="S2293" s="3"/>
      <c r="U2293" s="1"/>
    </row>
    <row r="2294" spans="16:21" x14ac:dyDescent="0.3">
      <c r="P2294" s="1"/>
      <c r="S2294" s="3"/>
      <c r="U2294" s="1"/>
    </row>
    <row r="2295" spans="16:21" x14ac:dyDescent="0.3">
      <c r="P2295" s="1"/>
      <c r="S2295" s="3"/>
      <c r="U2295" s="1"/>
    </row>
    <row r="2296" spans="16:21" x14ac:dyDescent="0.3">
      <c r="P2296" s="1"/>
      <c r="S2296" s="3"/>
      <c r="U2296" s="1"/>
    </row>
    <row r="2297" spans="16:21" x14ac:dyDescent="0.3">
      <c r="P2297" s="1"/>
      <c r="S2297" s="3"/>
      <c r="U2297" s="1"/>
    </row>
    <row r="2298" spans="16:21" x14ac:dyDescent="0.3">
      <c r="P2298" s="1"/>
      <c r="S2298" s="3"/>
      <c r="U2298" s="1"/>
    </row>
    <row r="2299" spans="16:21" x14ac:dyDescent="0.3">
      <c r="P2299" s="1"/>
      <c r="S2299" s="3"/>
      <c r="U2299" s="1"/>
    </row>
    <row r="2300" spans="16:21" x14ac:dyDescent="0.3">
      <c r="P2300" s="1"/>
      <c r="S2300" s="3"/>
      <c r="U2300" s="1"/>
    </row>
    <row r="2301" spans="16:21" x14ac:dyDescent="0.3">
      <c r="P2301" s="1"/>
      <c r="S2301" s="3"/>
      <c r="U2301" s="1"/>
    </row>
    <row r="2302" spans="16:21" x14ac:dyDescent="0.3">
      <c r="P2302" s="1"/>
      <c r="S2302" s="3"/>
      <c r="U2302" s="1"/>
    </row>
    <row r="2303" spans="16:21" x14ac:dyDescent="0.3">
      <c r="P2303" s="1"/>
      <c r="S2303" s="3"/>
      <c r="U2303" s="1"/>
    </row>
    <row r="2304" spans="16:21" x14ac:dyDescent="0.3">
      <c r="P2304" s="1"/>
      <c r="S2304" s="3"/>
      <c r="U2304" s="1"/>
    </row>
    <row r="2305" spans="16:21" x14ac:dyDescent="0.3">
      <c r="P2305" s="1"/>
      <c r="S2305" s="3"/>
      <c r="U2305" s="1"/>
    </row>
    <row r="2306" spans="16:21" x14ac:dyDescent="0.3">
      <c r="P2306" s="1"/>
      <c r="S2306" s="3"/>
      <c r="U2306" s="1"/>
    </row>
    <row r="2307" spans="16:21" x14ac:dyDescent="0.3">
      <c r="P2307" s="1"/>
      <c r="S2307" s="3"/>
      <c r="U2307" s="1"/>
    </row>
    <row r="2308" spans="16:21" x14ac:dyDescent="0.3">
      <c r="P2308" s="1"/>
      <c r="S2308" s="3"/>
      <c r="U2308" s="1"/>
    </row>
    <row r="2309" spans="16:21" x14ac:dyDescent="0.3">
      <c r="P2309" s="1"/>
      <c r="S2309" s="3"/>
      <c r="U2309" s="1"/>
    </row>
    <row r="2310" spans="16:21" x14ac:dyDescent="0.3">
      <c r="P2310" s="1"/>
      <c r="S2310" s="3"/>
      <c r="U2310" s="1"/>
    </row>
    <row r="2311" spans="16:21" x14ac:dyDescent="0.3">
      <c r="P2311" s="1"/>
      <c r="S2311" s="3"/>
      <c r="U2311" s="1"/>
    </row>
    <row r="2312" spans="16:21" x14ac:dyDescent="0.3">
      <c r="P2312" s="1"/>
      <c r="S2312" s="3"/>
      <c r="U2312" s="1"/>
    </row>
    <row r="2313" spans="16:21" x14ac:dyDescent="0.3">
      <c r="P2313" s="1"/>
      <c r="S2313" s="3"/>
      <c r="U2313" s="1"/>
    </row>
    <row r="2314" spans="16:21" x14ac:dyDescent="0.3">
      <c r="P2314" s="1"/>
      <c r="S2314" s="3"/>
      <c r="U2314" s="1"/>
    </row>
    <row r="2315" spans="16:21" x14ac:dyDescent="0.3">
      <c r="P2315" s="1"/>
      <c r="S2315" s="3"/>
      <c r="U2315" s="1"/>
    </row>
    <row r="2316" spans="16:21" x14ac:dyDescent="0.3">
      <c r="P2316" s="1"/>
      <c r="S2316" s="3"/>
      <c r="U2316" s="1"/>
    </row>
    <row r="2317" spans="16:21" x14ac:dyDescent="0.3">
      <c r="P2317" s="1"/>
      <c r="S2317" s="3"/>
      <c r="U2317" s="1"/>
    </row>
    <row r="2318" spans="16:21" x14ac:dyDescent="0.3">
      <c r="P2318" s="1"/>
      <c r="S2318" s="3"/>
      <c r="U2318" s="1"/>
    </row>
    <row r="2319" spans="16:21" x14ac:dyDescent="0.3">
      <c r="P2319" s="1"/>
      <c r="S2319" s="3"/>
      <c r="U2319" s="1"/>
    </row>
    <row r="2320" spans="16:21" x14ac:dyDescent="0.3">
      <c r="P2320" s="1"/>
      <c r="S2320" s="3"/>
      <c r="U2320" s="1"/>
    </row>
    <row r="2321" spans="16:21" x14ac:dyDescent="0.3">
      <c r="P2321" s="1"/>
      <c r="S2321" s="3"/>
      <c r="U2321" s="1"/>
    </row>
    <row r="2322" spans="16:21" x14ac:dyDescent="0.3">
      <c r="P2322" s="1"/>
      <c r="S2322" s="3"/>
      <c r="U2322" s="1"/>
    </row>
    <row r="2323" spans="16:21" x14ac:dyDescent="0.3">
      <c r="P2323" s="1"/>
      <c r="S2323" s="3"/>
      <c r="U2323" s="1"/>
    </row>
    <row r="2324" spans="16:21" x14ac:dyDescent="0.3">
      <c r="P2324" s="1"/>
      <c r="S2324" s="3"/>
      <c r="U2324" s="1"/>
    </row>
    <row r="2325" spans="16:21" x14ac:dyDescent="0.3">
      <c r="P2325" s="1"/>
      <c r="S2325" s="3"/>
      <c r="U2325" s="1"/>
    </row>
    <row r="2326" spans="16:21" x14ac:dyDescent="0.3">
      <c r="P2326" s="1"/>
      <c r="S2326" s="3"/>
      <c r="U2326" s="1"/>
    </row>
    <row r="2327" spans="16:21" x14ac:dyDescent="0.3">
      <c r="P2327" s="1"/>
      <c r="S2327" s="3"/>
      <c r="U2327" s="1"/>
    </row>
    <row r="2328" spans="16:21" x14ac:dyDescent="0.3">
      <c r="P2328" s="1"/>
      <c r="S2328" s="3"/>
      <c r="U2328" s="1"/>
    </row>
    <row r="2329" spans="16:21" x14ac:dyDescent="0.3">
      <c r="P2329" s="1"/>
      <c r="S2329" s="3"/>
      <c r="U2329" s="1"/>
    </row>
    <row r="2330" spans="16:21" x14ac:dyDescent="0.3">
      <c r="P2330" s="1"/>
      <c r="S2330" s="3"/>
      <c r="U2330" s="1"/>
    </row>
    <row r="2331" spans="16:21" x14ac:dyDescent="0.3">
      <c r="P2331" s="1"/>
      <c r="S2331" s="3"/>
      <c r="U2331" s="1"/>
    </row>
    <row r="2332" spans="16:21" x14ac:dyDescent="0.3">
      <c r="P2332" s="1"/>
      <c r="S2332" s="3"/>
      <c r="U2332" s="1"/>
    </row>
    <row r="2333" spans="16:21" x14ac:dyDescent="0.3">
      <c r="P2333" s="1"/>
      <c r="S2333" s="3"/>
      <c r="U2333" s="1"/>
    </row>
    <row r="2334" spans="16:21" x14ac:dyDescent="0.3">
      <c r="P2334" s="1"/>
      <c r="S2334" s="3"/>
      <c r="U2334" s="1"/>
    </row>
    <row r="2335" spans="16:21" x14ac:dyDescent="0.3">
      <c r="P2335" s="1"/>
      <c r="S2335" s="3"/>
      <c r="U2335" s="1"/>
    </row>
    <row r="2336" spans="16:21" x14ac:dyDescent="0.3">
      <c r="P2336" s="1"/>
      <c r="S2336" s="3"/>
      <c r="U2336" s="1"/>
    </row>
    <row r="2337" spans="15:21" x14ac:dyDescent="0.3">
      <c r="P2337" s="1"/>
      <c r="S2337" s="3"/>
      <c r="U2337" s="1"/>
    </row>
    <row r="2338" spans="15:21" x14ac:dyDescent="0.3">
      <c r="P2338" s="1"/>
      <c r="S2338" s="3"/>
      <c r="U2338" s="1"/>
    </row>
    <row r="2339" spans="15:21" x14ac:dyDescent="0.3">
      <c r="P2339" s="1"/>
      <c r="S2339" s="3"/>
      <c r="U2339" s="1"/>
    </row>
    <row r="2340" spans="15:21" x14ac:dyDescent="0.3">
      <c r="P2340" s="1"/>
      <c r="S2340" s="3"/>
      <c r="U2340" s="1"/>
    </row>
    <row r="2341" spans="15:21" x14ac:dyDescent="0.3">
      <c r="P2341" s="1"/>
      <c r="S2341" s="3"/>
      <c r="U2341" s="1"/>
    </row>
    <row r="2342" spans="15:21" x14ac:dyDescent="0.3">
      <c r="P2342" s="1"/>
      <c r="S2342" s="3"/>
      <c r="U2342" s="1"/>
    </row>
    <row r="2343" spans="15:21" x14ac:dyDescent="0.3">
      <c r="P2343" s="1"/>
      <c r="S2343" s="3"/>
      <c r="U2343" s="1"/>
    </row>
    <row r="2344" spans="15:21" x14ac:dyDescent="0.3">
      <c r="P2344" s="1"/>
      <c r="S2344" s="3"/>
      <c r="U2344" s="1"/>
    </row>
    <row r="2345" spans="15:21" x14ac:dyDescent="0.3">
      <c r="P2345" s="1"/>
      <c r="S2345" s="3"/>
      <c r="U2345" s="1"/>
    </row>
    <row r="2346" spans="15:21" x14ac:dyDescent="0.3">
      <c r="O2346" s="3"/>
      <c r="P2346" s="1"/>
      <c r="T2346" s="3"/>
      <c r="U2346" s="1"/>
    </row>
    <row r="2347" spans="15:21" x14ac:dyDescent="0.3">
      <c r="O2347" s="3"/>
      <c r="P2347" s="1"/>
      <c r="T2347" s="3"/>
      <c r="U2347" s="1"/>
    </row>
    <row r="2348" spans="15:21" x14ac:dyDescent="0.3">
      <c r="O2348" s="3"/>
      <c r="P2348" s="1"/>
      <c r="T2348" s="3"/>
      <c r="U2348" s="1"/>
    </row>
    <row r="2349" spans="15:21" x14ac:dyDescent="0.3">
      <c r="O2349" s="3"/>
      <c r="P2349" s="1"/>
      <c r="T2349" s="3"/>
      <c r="U2349" s="1"/>
    </row>
    <row r="2350" spans="15:21" x14ac:dyDescent="0.3">
      <c r="O2350" s="3"/>
      <c r="P2350" s="1"/>
      <c r="T2350" s="3"/>
      <c r="U2350" s="1"/>
    </row>
    <row r="2351" spans="15:21" x14ac:dyDescent="0.3">
      <c r="O2351" s="3"/>
      <c r="P2351" s="1"/>
      <c r="T2351" s="3"/>
      <c r="U2351" s="1"/>
    </row>
    <row r="2352" spans="15:21" x14ac:dyDescent="0.3">
      <c r="O2352" s="3"/>
      <c r="P2352" s="1"/>
      <c r="T2352" s="3"/>
      <c r="U2352" s="1"/>
    </row>
    <row r="2353" spans="15:21" x14ac:dyDescent="0.3">
      <c r="O2353" s="3"/>
      <c r="P2353" s="1"/>
      <c r="T2353" s="3"/>
      <c r="U2353" s="1"/>
    </row>
    <row r="2354" spans="15:21" x14ac:dyDescent="0.3">
      <c r="O2354" s="3"/>
      <c r="P2354" s="1"/>
      <c r="T2354" s="3"/>
      <c r="U2354" s="1"/>
    </row>
    <row r="2355" spans="15:21" x14ac:dyDescent="0.3">
      <c r="O2355" s="3"/>
      <c r="P2355" s="1"/>
      <c r="T2355" s="3"/>
      <c r="U2355" s="1"/>
    </row>
    <row r="2356" spans="15:21" x14ac:dyDescent="0.3">
      <c r="O2356" s="3"/>
      <c r="P2356" s="1"/>
      <c r="T2356" s="3"/>
      <c r="U2356" s="1"/>
    </row>
    <row r="2357" spans="15:21" x14ac:dyDescent="0.3">
      <c r="O2357" s="3"/>
      <c r="P2357" s="1"/>
      <c r="T2357" s="3"/>
      <c r="U2357" s="1"/>
    </row>
    <row r="2358" spans="15:21" x14ac:dyDescent="0.3">
      <c r="O2358" s="3"/>
      <c r="P2358" s="1"/>
      <c r="T2358" s="3"/>
      <c r="U2358" s="1"/>
    </row>
    <row r="2359" spans="15:21" x14ac:dyDescent="0.3">
      <c r="O2359" s="3"/>
      <c r="P2359" s="1"/>
      <c r="T2359" s="3"/>
      <c r="U2359" s="1"/>
    </row>
    <row r="2360" spans="15:21" x14ac:dyDescent="0.3">
      <c r="O2360" s="3"/>
      <c r="P2360" s="1"/>
      <c r="T2360" s="3"/>
      <c r="U2360" s="1"/>
    </row>
    <row r="2361" spans="15:21" x14ac:dyDescent="0.3">
      <c r="O2361" s="3"/>
      <c r="P2361" s="1"/>
      <c r="T2361" s="3"/>
      <c r="U2361" s="1"/>
    </row>
    <row r="2362" spans="15:21" x14ac:dyDescent="0.3">
      <c r="O2362" s="3"/>
      <c r="P2362" s="1"/>
      <c r="T2362" s="3"/>
      <c r="U2362" s="1"/>
    </row>
    <row r="2363" spans="15:21" x14ac:dyDescent="0.3">
      <c r="O2363" s="3"/>
      <c r="P2363" s="1"/>
      <c r="T2363" s="3"/>
      <c r="U2363" s="1"/>
    </row>
    <row r="2364" spans="15:21" x14ac:dyDescent="0.3">
      <c r="O2364" s="3"/>
      <c r="P2364" s="1"/>
      <c r="T2364" s="3"/>
      <c r="U2364" s="1"/>
    </row>
    <row r="2365" spans="15:21" x14ac:dyDescent="0.3">
      <c r="O2365" s="3"/>
      <c r="P2365" s="1"/>
      <c r="T2365" s="3"/>
      <c r="U2365" s="1"/>
    </row>
    <row r="2366" spans="15:21" x14ac:dyDescent="0.3">
      <c r="O2366" s="3"/>
      <c r="P2366" s="1"/>
      <c r="T2366" s="3"/>
      <c r="U2366" s="1"/>
    </row>
    <row r="2367" spans="15:21" x14ac:dyDescent="0.3">
      <c r="O2367" s="3"/>
      <c r="P2367" s="1"/>
      <c r="T2367" s="3"/>
      <c r="U2367" s="1"/>
    </row>
    <row r="2368" spans="15:21" x14ac:dyDescent="0.3">
      <c r="O2368" s="3"/>
      <c r="P2368" s="1"/>
      <c r="T2368" s="3"/>
      <c r="U2368" s="1"/>
    </row>
    <row r="2369" spans="15:21" x14ac:dyDescent="0.3">
      <c r="O2369" s="3"/>
      <c r="P2369" s="1"/>
      <c r="T2369" s="3"/>
      <c r="U2369" s="1"/>
    </row>
    <row r="2370" spans="15:21" x14ac:dyDescent="0.3">
      <c r="O2370" s="3"/>
      <c r="P2370" s="1"/>
      <c r="T2370" s="3"/>
      <c r="U2370" s="1"/>
    </row>
    <row r="2371" spans="15:21" x14ac:dyDescent="0.3">
      <c r="O2371" s="3"/>
      <c r="P2371" s="1"/>
      <c r="T2371" s="3"/>
      <c r="U2371" s="1"/>
    </row>
    <row r="2372" spans="15:21" x14ac:dyDescent="0.3">
      <c r="O2372" s="3"/>
      <c r="P2372" s="1"/>
      <c r="T2372" s="3"/>
      <c r="U2372" s="1"/>
    </row>
    <row r="2373" spans="15:21" x14ac:dyDescent="0.3">
      <c r="O2373" s="3"/>
      <c r="P2373" s="1"/>
      <c r="T2373" s="3"/>
      <c r="U2373" s="1"/>
    </row>
    <row r="2374" spans="15:21" x14ac:dyDescent="0.3">
      <c r="O2374" s="3"/>
      <c r="P2374" s="1"/>
      <c r="T2374" s="3"/>
      <c r="U2374" s="1"/>
    </row>
    <row r="2375" spans="15:21" x14ac:dyDescent="0.3">
      <c r="O2375" s="3"/>
      <c r="P2375" s="1"/>
      <c r="T2375" s="3"/>
      <c r="U2375" s="1"/>
    </row>
    <row r="2376" spans="15:21" x14ac:dyDescent="0.3">
      <c r="O2376" s="3"/>
      <c r="P2376" s="1"/>
      <c r="T2376" s="3"/>
      <c r="U2376" s="1"/>
    </row>
    <row r="2377" spans="15:21" x14ac:dyDescent="0.3">
      <c r="O2377" s="3"/>
      <c r="P2377" s="1"/>
      <c r="T2377" s="3"/>
      <c r="U2377" s="1"/>
    </row>
    <row r="2378" spans="15:21" x14ac:dyDescent="0.3">
      <c r="O2378" s="3"/>
      <c r="P2378" s="1"/>
      <c r="T2378" s="3"/>
      <c r="U2378" s="1"/>
    </row>
    <row r="2379" spans="15:21" x14ac:dyDescent="0.3">
      <c r="O2379" s="3"/>
      <c r="P2379" s="1"/>
      <c r="T2379" s="3"/>
      <c r="U2379" s="1"/>
    </row>
    <row r="2380" spans="15:21" x14ac:dyDescent="0.3">
      <c r="O2380" s="3"/>
      <c r="P2380" s="1"/>
      <c r="T2380" s="3"/>
      <c r="U2380" s="1"/>
    </row>
    <row r="2381" spans="15:21" x14ac:dyDescent="0.3">
      <c r="O2381" s="3"/>
      <c r="P2381" s="1"/>
      <c r="T2381" s="3"/>
      <c r="U2381" s="1"/>
    </row>
    <row r="2382" spans="15:21" x14ac:dyDescent="0.3">
      <c r="O2382" s="3"/>
      <c r="P2382" s="1"/>
      <c r="T2382" s="3"/>
      <c r="U2382" s="1"/>
    </row>
    <row r="2383" spans="15:21" x14ac:dyDescent="0.3">
      <c r="O2383" s="3"/>
      <c r="P2383" s="1"/>
      <c r="T2383" s="3"/>
      <c r="U2383" s="1"/>
    </row>
    <row r="2384" spans="15:21" x14ac:dyDescent="0.3">
      <c r="O2384" s="3"/>
      <c r="P2384" s="1"/>
      <c r="T2384" s="3"/>
      <c r="U2384" s="1"/>
    </row>
    <row r="2385" spans="15:21" x14ac:dyDescent="0.3">
      <c r="O2385" s="3"/>
      <c r="P2385" s="1"/>
      <c r="T2385" s="3"/>
      <c r="U2385" s="1"/>
    </row>
    <row r="2386" spans="15:21" x14ac:dyDescent="0.3">
      <c r="O2386" s="3"/>
      <c r="P2386" s="1"/>
      <c r="T2386" s="3"/>
      <c r="U2386" s="1"/>
    </row>
    <row r="2387" spans="15:21" x14ac:dyDescent="0.3">
      <c r="O2387" s="3"/>
      <c r="P2387" s="1"/>
      <c r="T2387" s="3"/>
      <c r="U2387" s="1"/>
    </row>
    <row r="2388" spans="15:21" x14ac:dyDescent="0.3">
      <c r="O2388" s="3"/>
      <c r="P2388" s="1"/>
      <c r="T2388" s="3"/>
      <c r="U2388" s="1"/>
    </row>
    <row r="2389" spans="15:21" x14ac:dyDescent="0.3">
      <c r="O2389" s="3"/>
      <c r="P2389" s="1"/>
      <c r="T2389" s="3"/>
      <c r="U2389" s="1"/>
    </row>
    <row r="2390" spans="15:21" x14ac:dyDescent="0.3">
      <c r="O2390" s="3"/>
      <c r="P2390" s="1"/>
      <c r="T2390" s="3"/>
      <c r="U2390" s="1"/>
    </row>
    <row r="2391" spans="15:21" x14ac:dyDescent="0.3">
      <c r="O2391" s="3"/>
      <c r="P2391" s="1"/>
      <c r="T2391" s="3"/>
      <c r="U2391" s="1"/>
    </row>
    <row r="2392" spans="15:21" x14ac:dyDescent="0.3">
      <c r="O2392" s="3"/>
      <c r="P2392" s="1"/>
      <c r="T2392" s="3"/>
      <c r="U2392" s="1"/>
    </row>
    <row r="2393" spans="15:21" x14ac:dyDescent="0.3">
      <c r="O2393" s="3"/>
      <c r="P2393" s="1"/>
      <c r="T2393" s="3"/>
      <c r="U2393" s="1"/>
    </row>
    <row r="2394" spans="15:21" x14ac:dyDescent="0.3">
      <c r="O2394" s="3"/>
      <c r="P2394" s="1"/>
      <c r="T2394" s="3"/>
      <c r="U2394" s="1"/>
    </row>
    <row r="2395" spans="15:21" x14ac:dyDescent="0.3">
      <c r="O2395" s="3"/>
      <c r="P2395" s="1"/>
      <c r="T2395" s="3"/>
      <c r="U2395" s="1"/>
    </row>
    <row r="2396" spans="15:21" x14ac:dyDescent="0.3">
      <c r="O2396" s="3"/>
      <c r="P2396" s="1"/>
      <c r="T2396" s="3"/>
      <c r="U2396" s="1"/>
    </row>
    <row r="2397" spans="15:21" x14ac:dyDescent="0.3">
      <c r="O2397" s="3"/>
      <c r="P2397" s="1"/>
      <c r="T2397" s="3"/>
      <c r="U2397" s="1"/>
    </row>
    <row r="2398" spans="15:21" x14ac:dyDescent="0.3">
      <c r="O2398" s="3"/>
      <c r="P2398" s="1"/>
      <c r="T2398" s="3"/>
      <c r="U2398" s="1"/>
    </row>
    <row r="2399" spans="15:21" x14ac:dyDescent="0.3">
      <c r="O2399" s="3"/>
      <c r="P2399" s="1"/>
      <c r="T2399" s="3"/>
      <c r="U2399" s="1"/>
    </row>
    <row r="2400" spans="15:21" x14ac:dyDescent="0.3">
      <c r="O2400" s="3"/>
      <c r="P2400" s="1"/>
      <c r="T2400" s="3"/>
      <c r="U2400" s="1"/>
    </row>
    <row r="2401" spans="15:21" x14ac:dyDescent="0.3">
      <c r="O2401" s="3"/>
      <c r="P2401" s="1"/>
      <c r="T2401" s="3"/>
      <c r="U2401" s="1"/>
    </row>
    <row r="2402" spans="15:21" x14ac:dyDescent="0.3">
      <c r="O2402" s="3"/>
      <c r="P2402" s="1"/>
      <c r="T2402" s="3"/>
      <c r="U2402" s="1"/>
    </row>
    <row r="2403" spans="15:21" x14ac:dyDescent="0.3">
      <c r="O2403" s="3"/>
      <c r="P2403" s="1"/>
      <c r="T2403" s="3"/>
      <c r="U2403" s="1"/>
    </row>
    <row r="2404" spans="15:21" x14ac:dyDescent="0.3">
      <c r="O2404" s="3"/>
      <c r="P2404" s="1"/>
      <c r="T2404" s="3"/>
      <c r="U2404" s="1"/>
    </row>
    <row r="2405" spans="15:21" x14ac:dyDescent="0.3">
      <c r="O2405" s="3"/>
      <c r="P2405" s="1"/>
      <c r="T2405" s="3"/>
      <c r="U2405" s="1"/>
    </row>
    <row r="2406" spans="15:21" x14ac:dyDescent="0.3">
      <c r="O2406" s="3"/>
      <c r="P2406" s="1"/>
      <c r="T2406" s="3"/>
      <c r="U2406" s="1"/>
    </row>
    <row r="2407" spans="15:21" x14ac:dyDescent="0.3">
      <c r="O2407" s="3"/>
      <c r="P2407" s="1"/>
      <c r="T2407" s="3"/>
      <c r="U2407" s="1"/>
    </row>
    <row r="2408" spans="15:21" x14ac:dyDescent="0.3">
      <c r="O2408" s="3"/>
      <c r="P2408" s="1"/>
      <c r="T2408" s="3"/>
      <c r="U2408" s="1"/>
    </row>
    <row r="2409" spans="15:21" x14ac:dyDescent="0.3">
      <c r="O2409" s="3"/>
      <c r="P2409" s="1"/>
      <c r="T2409" s="3"/>
      <c r="U2409" s="1"/>
    </row>
    <row r="2410" spans="15:21" x14ac:dyDescent="0.3">
      <c r="O2410" s="3"/>
      <c r="P2410" s="1"/>
      <c r="T2410" s="3"/>
      <c r="U2410" s="1"/>
    </row>
    <row r="2411" spans="15:21" x14ac:dyDescent="0.3">
      <c r="O2411" s="3"/>
      <c r="P2411" s="1"/>
      <c r="T2411" s="3"/>
      <c r="U2411" s="1"/>
    </row>
    <row r="2412" spans="15:21" x14ac:dyDescent="0.3">
      <c r="O2412" s="3"/>
      <c r="P2412" s="1"/>
      <c r="T2412" s="3"/>
      <c r="U2412" s="1"/>
    </row>
    <row r="2413" spans="15:21" x14ac:dyDescent="0.3">
      <c r="O2413" s="3"/>
      <c r="P2413" s="1"/>
      <c r="T2413" s="3"/>
      <c r="U2413" s="1"/>
    </row>
    <row r="2414" spans="15:21" x14ac:dyDescent="0.3">
      <c r="O2414" s="3"/>
      <c r="P2414" s="1"/>
      <c r="T2414" s="3"/>
      <c r="U2414" s="1"/>
    </row>
    <row r="2415" spans="15:21" x14ac:dyDescent="0.3">
      <c r="O2415" s="3"/>
      <c r="P2415" s="1"/>
      <c r="T2415" s="3"/>
      <c r="U2415" s="1"/>
    </row>
    <row r="2416" spans="15:21" x14ac:dyDescent="0.3">
      <c r="O2416" s="3"/>
      <c r="P2416" s="1"/>
      <c r="T2416" s="3"/>
      <c r="U2416" s="1"/>
    </row>
    <row r="2417" spans="15:21" x14ac:dyDescent="0.3">
      <c r="O2417" s="3"/>
      <c r="P2417" s="1"/>
      <c r="T2417" s="3"/>
      <c r="U2417" s="1"/>
    </row>
    <row r="2418" spans="15:21" x14ac:dyDescent="0.3">
      <c r="O2418" s="3"/>
      <c r="P2418" s="1"/>
      <c r="T2418" s="3"/>
      <c r="U2418" s="1"/>
    </row>
    <row r="2419" spans="15:21" x14ac:dyDescent="0.3">
      <c r="O2419" s="3"/>
      <c r="P2419" s="1"/>
      <c r="T2419" s="3"/>
      <c r="U2419" s="1"/>
    </row>
    <row r="2420" spans="15:21" x14ac:dyDescent="0.3">
      <c r="O2420" s="3"/>
      <c r="P2420" s="1"/>
      <c r="T2420" s="3"/>
      <c r="U2420" s="1"/>
    </row>
    <row r="2421" spans="15:21" x14ac:dyDescent="0.3">
      <c r="O2421" s="3"/>
      <c r="P2421" s="1"/>
      <c r="T2421" s="3"/>
      <c r="U2421" s="1"/>
    </row>
    <row r="2422" spans="15:21" x14ac:dyDescent="0.3">
      <c r="O2422" s="3"/>
      <c r="P2422" s="1"/>
      <c r="T2422" s="3"/>
      <c r="U2422" s="1"/>
    </row>
    <row r="2423" spans="15:21" x14ac:dyDescent="0.3">
      <c r="O2423" s="3"/>
      <c r="P2423" s="1"/>
      <c r="T2423" s="3"/>
      <c r="U2423" s="1"/>
    </row>
    <row r="2424" spans="15:21" x14ac:dyDescent="0.3">
      <c r="O2424" s="3"/>
      <c r="P2424" s="1"/>
      <c r="T2424" s="3"/>
      <c r="U2424" s="1"/>
    </row>
    <row r="2425" spans="15:21" x14ac:dyDescent="0.3">
      <c r="O2425" s="3"/>
      <c r="P2425" s="1"/>
      <c r="T2425" s="3"/>
      <c r="U2425" s="1"/>
    </row>
    <row r="2426" spans="15:21" x14ac:dyDescent="0.3">
      <c r="O2426" s="3"/>
      <c r="P2426" s="1"/>
      <c r="T2426" s="3"/>
      <c r="U2426" s="1"/>
    </row>
    <row r="2427" spans="15:21" x14ac:dyDescent="0.3">
      <c r="O2427" s="3"/>
      <c r="P2427" s="1"/>
      <c r="T2427" s="3"/>
      <c r="U2427" s="1"/>
    </row>
    <row r="2428" spans="15:21" x14ac:dyDescent="0.3">
      <c r="O2428" s="3"/>
      <c r="P2428" s="1"/>
      <c r="T2428" s="3"/>
      <c r="U2428" s="1"/>
    </row>
    <row r="2429" spans="15:21" x14ac:dyDescent="0.3">
      <c r="O2429" s="3"/>
      <c r="P2429" s="1"/>
      <c r="T2429" s="3"/>
      <c r="U2429" s="1"/>
    </row>
    <row r="2430" spans="15:21" x14ac:dyDescent="0.3">
      <c r="O2430" s="3"/>
      <c r="P2430" s="1"/>
      <c r="T2430" s="3"/>
      <c r="U2430" s="1"/>
    </row>
    <row r="2431" spans="15:21" x14ac:dyDescent="0.3">
      <c r="O2431" s="3"/>
      <c r="P2431" s="1"/>
      <c r="T2431" s="3"/>
      <c r="U2431" s="1"/>
    </row>
    <row r="2432" spans="15:21" x14ac:dyDescent="0.3">
      <c r="O2432" s="3"/>
      <c r="P2432" s="1"/>
      <c r="T2432" s="3"/>
      <c r="U2432" s="1"/>
    </row>
    <row r="2433" spans="15:21" x14ac:dyDescent="0.3">
      <c r="O2433" s="3"/>
      <c r="P2433" s="1"/>
      <c r="T2433" s="3"/>
      <c r="U2433" s="1"/>
    </row>
    <row r="2434" spans="15:21" x14ac:dyDescent="0.3">
      <c r="O2434" s="3"/>
      <c r="P2434" s="1"/>
      <c r="T2434" s="3"/>
      <c r="U2434" s="1"/>
    </row>
    <row r="2435" spans="15:21" x14ac:dyDescent="0.3">
      <c r="O2435" s="3"/>
      <c r="P2435" s="1"/>
      <c r="T2435" s="3"/>
      <c r="U2435" s="1"/>
    </row>
    <row r="2436" spans="15:21" x14ac:dyDescent="0.3">
      <c r="O2436" s="3"/>
      <c r="P2436" s="1"/>
      <c r="T2436" s="3"/>
      <c r="U2436" s="1"/>
    </row>
  </sheetData>
  <mergeCells count="1">
    <mergeCell ref="A10:J10"/>
  </mergeCells>
  <phoneticPr fontId="3" type="noConversion"/>
  <conditionalFormatting sqref="A12:K839">
    <cfRule type="containsText" dxfId="23" priority="3" operator="containsText" text="Annual Leave -  - ">
      <formula>NOT(ISERROR(SEARCH("Annual Leave -  - ",A12)))</formula>
    </cfRule>
    <cfRule type="containsText" dxfId="22" priority="4" operator="containsText" text="Full Day Work -  - ">
      <formula>NOT(ISERROR(SEARCH("Full Day Work -  - ",A12)))</formula>
    </cfRule>
    <cfRule type="containsText" dxfId="21" priority="13" operator="containsText" text="Off day -  - ">
      <formula>NOT(ISERROR(SEARCH("Off day -  - ",A12)))</formula>
    </cfRule>
  </conditionalFormatting>
  <conditionalFormatting sqref="A13:K839">
    <cfRule type="containsText" dxfId="20" priority="1" operator="containsText" text="Sick Leave -  - ">
      <formula>NOT(ISERROR(SEARCH("Sick Leave -  - ",A13)))</formula>
    </cfRule>
    <cfRule type="containsText" dxfId="19" priority="2" operator="containsText" text="LWP -  - ">
      <formula>NOT(ISERROR(SEARCH("LWP -  - ",A13)))</formula>
    </cfRule>
    <cfRule type="containsText" dxfId="18" priority="5" operator="containsText" text="Weather Closure -  - ">
      <formula>NOT(ISERROR(SEARCH("Weather Closure -  - ",A13)))</formula>
    </cfRule>
    <cfRule type="containsText" dxfId="17" priority="6" operator="containsText" text="Public Holiday -  - ">
      <formula>NOT(ISERROR(SEARCH("Public Holiday -  - ",A13)))</formula>
    </cfRule>
    <cfRule type="containsText" dxfId="16" priority="7" operator="containsText" text=" -  - Early Punch-Out">
      <formula>NOT(ISERROR(SEARCH(" -  - Early Punch-Out",A13)))</formula>
    </cfRule>
    <cfRule type="containsText" dxfId="15" priority="8" operator="containsText" text="Miss Punch -  - ">
      <formula>NOT(ISERROR(SEARCH("Miss Punch -  - ",A13)))</formula>
    </cfRule>
    <cfRule type="containsText" dxfId="14" priority="9" operator="containsText" text=" - Late Punch-In - ">
      <formula>NOT(ISERROR(SEARCH(" - Late Punch-In - ",A13)))</formula>
    </cfRule>
    <cfRule type="containsText" dxfId="13" priority="10" operator="containsText" text="Incomplete working Hours -  - ">
      <formula>NOT(ISERROR(SEARCH("Incomplete working Hours -  - ",A13)))</formula>
    </cfRule>
    <cfRule type="containsText" dxfId="12" priority="11" operator="containsText" text="Absent -  - ">
      <formula>NOT(ISERROR(SEARCH("Absent -  - ",A13)))</formula>
    </cfRule>
    <cfRule type="containsText" dxfId="11" priority="12" operator="containsText" text="Off day Work -  - ">
      <formula>NOT(ISERROR(SEARCH("Off day Work -  - ",A13)))</formula>
    </cfRule>
  </conditionalFormatting>
  <pageMargins left="0.7" right="0.7" top="0.75" bottom="0.75" header="0.3" footer="0.3"/>
  <pageSetup scale="34"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011E52-F103-4FAA-9361-B8BDAC44C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Table6</vt:lpstr>
      <vt:lpstr>Table6!Print_Titles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 Tp</dc:creator>
  <cp:lastModifiedBy>Pranav</cp:lastModifiedBy>
  <cp:lastPrinted>2026-06-21T11:17:56Z</cp:lastPrinted>
  <dcterms:created xsi:type="dcterms:W3CDTF">2024-10-04T18:42:17Z</dcterms:created>
  <dcterms:modified xsi:type="dcterms:W3CDTF">2026-06-30T05:32:09Z</dcterms:modified>
</cp:coreProperties>
</file>